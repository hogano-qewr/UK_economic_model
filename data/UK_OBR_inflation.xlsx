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0918bc62ee91db/Documents/1 OLLIE/0. R/UK_economic_model/data/"/>
    </mc:Choice>
  </mc:AlternateContent>
  <xr:revisionPtr revIDLastSave="67" documentId="8_{B155730B-A8D9-49EC-9749-3718F3665132}" xr6:coauthVersionLast="47" xr6:coauthVersionMax="47" xr10:uidLastSave="{512A190E-7C51-40F1-A21D-88ED93204729}"/>
  <bookViews>
    <workbookView xWindow="-110" yWindow="-110" windowWidth="22780" windowHeight="14540" activeTab="2" xr2:uid="{BCFE34D0-EE09-4408-B65A-C43F7378E982}"/>
  </bookViews>
  <sheets>
    <sheet name="UK_OBR_inflation" sheetId="1" r:id="rId1"/>
    <sheet name="Sheet1" sheetId="2" r:id="rId2"/>
    <sheet name="Sheet2" sheetId="3" r:id="rId3"/>
  </sheets>
  <externalReferences>
    <externalReference r:id="rId4"/>
  </externalReferenc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8" i="3" l="1"/>
  <c r="J54" i="3" s="1"/>
  <c r="J50" i="3" s="1"/>
  <c r="J46" i="3" s="1"/>
  <c r="J42" i="3" s="1"/>
  <c r="J38" i="3" s="1"/>
  <c r="J34" i="3" s="1"/>
  <c r="J30" i="3" s="1"/>
  <c r="J26" i="3" s="1"/>
  <c r="J22" i="3" s="1"/>
  <c r="J18" i="3" s="1"/>
  <c r="J14" i="3" s="1"/>
  <c r="J10" i="3" s="1"/>
  <c r="J6" i="3" s="1"/>
  <c r="J59" i="3"/>
  <c r="J55" i="3" s="1"/>
  <c r="J51" i="3" s="1"/>
  <c r="J47" i="3" s="1"/>
  <c r="J43" i="3" s="1"/>
  <c r="J39" i="3" s="1"/>
  <c r="J35" i="3" s="1"/>
  <c r="J31" i="3" s="1"/>
  <c r="J27" i="3" s="1"/>
  <c r="J23" i="3" s="1"/>
  <c r="J19" i="3" s="1"/>
  <c r="J15" i="3" s="1"/>
  <c r="J11" i="3" s="1"/>
  <c r="J7" i="3" s="1"/>
  <c r="J60" i="3"/>
  <c r="J56" i="3" s="1"/>
  <c r="J52" i="3" s="1"/>
  <c r="J48" i="3" s="1"/>
  <c r="J44" i="3" s="1"/>
  <c r="J40" i="3" s="1"/>
  <c r="J36" i="3" s="1"/>
  <c r="J32" i="3" s="1"/>
  <c r="J28" i="3" s="1"/>
  <c r="J24" i="3" s="1"/>
  <c r="J20" i="3" s="1"/>
  <c r="J16" i="3" s="1"/>
  <c r="J12" i="3" s="1"/>
  <c r="J8" i="3" s="1"/>
  <c r="J61" i="3"/>
  <c r="J57" i="3" s="1"/>
  <c r="J53" i="3" s="1"/>
  <c r="J49" i="3" s="1"/>
  <c r="J45" i="3" s="1"/>
  <c r="J41" i="3" s="1"/>
  <c r="J37" i="3" s="1"/>
  <c r="J33" i="3" s="1"/>
  <c r="J29" i="3" s="1"/>
  <c r="J25" i="3" s="1"/>
  <c r="J21" i="3" s="1"/>
  <c r="J17" i="3" s="1"/>
  <c r="J13" i="3" s="1"/>
  <c r="J9" i="3" s="1"/>
  <c r="J5" i="3" s="1"/>
  <c r="J64" i="3"/>
  <c r="J65" i="3"/>
  <c r="J66" i="3"/>
  <c r="J62" i="3" s="1"/>
  <c r="J67" i="3"/>
  <c r="J63" i="3" s="1"/>
  <c r="J68" i="3"/>
  <c r="I70" i="3"/>
  <c r="I71" i="3"/>
  <c r="I72" i="3"/>
  <c r="I69" i="3"/>
  <c r="I66" i="3"/>
  <c r="I67" i="3"/>
  <c r="I68" i="3"/>
  <c r="I65" i="3"/>
  <c r="I62" i="3"/>
  <c r="I63" i="3"/>
  <c r="I64" i="3"/>
  <c r="I61" i="3"/>
  <c r="I58" i="3"/>
  <c r="I59" i="3"/>
  <c r="I60" i="3"/>
  <c r="I57" i="3"/>
  <c r="I54" i="3"/>
  <c r="I55" i="3"/>
  <c r="I56" i="3"/>
  <c r="I53" i="3"/>
  <c r="I50" i="3"/>
  <c r="I51" i="3"/>
  <c r="I52" i="3"/>
  <c r="I49" i="3"/>
  <c r="I46" i="3"/>
  <c r="I47" i="3"/>
  <c r="I48" i="3"/>
  <c r="I45" i="3"/>
  <c r="I42" i="3"/>
  <c r="I43" i="3"/>
  <c r="I44" i="3"/>
  <c r="I41" i="3"/>
  <c r="I38" i="3"/>
  <c r="I39" i="3"/>
  <c r="I40" i="3"/>
  <c r="I37" i="3"/>
  <c r="I34" i="3"/>
  <c r="I35" i="3"/>
  <c r="I36" i="3"/>
  <c r="I33" i="3"/>
  <c r="I30" i="3"/>
  <c r="I31" i="3"/>
  <c r="I32" i="3"/>
  <c r="I29" i="3"/>
  <c r="I26" i="3"/>
  <c r="I27" i="3"/>
  <c r="I28" i="3"/>
  <c r="I25" i="3"/>
  <c r="I22" i="3"/>
  <c r="I23" i="3"/>
  <c r="I24" i="3"/>
  <c r="I21" i="3"/>
  <c r="I18" i="3"/>
  <c r="I19" i="3"/>
  <c r="I20" i="3"/>
  <c r="I17" i="3"/>
  <c r="I14" i="3"/>
  <c r="I15" i="3"/>
  <c r="I16" i="3"/>
  <c r="I13" i="3"/>
  <c r="I10" i="3"/>
  <c r="I11" i="3"/>
  <c r="I12" i="3"/>
  <c r="I9" i="3"/>
  <c r="I8" i="3"/>
  <c r="I7" i="3"/>
  <c r="I6" i="3"/>
  <c r="I5" i="3"/>
</calcChain>
</file>

<file path=xl/sharedStrings.xml><?xml version="1.0" encoding="utf-8"?>
<sst xmlns="http://schemas.openxmlformats.org/spreadsheetml/2006/main" count="2044" uniqueCount="159">
  <si>
    <t>Inflation</t>
  </si>
  <si>
    <t>Quarter</t>
  </si>
  <si>
    <t>Value</t>
  </si>
  <si>
    <t>CPI forecast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</si>
  <si>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</si>
  <si>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</si>
  <si>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</si>
  <si>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</si>
  <si>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</si>
  <si>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</si>
  <si>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</si>
  <si>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</si>
  <si>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</si>
  <si>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2027Q1</t>
  </si>
  <si>
    <t>2027Q2</t>
  </si>
  <si>
    <t>2027Q3</t>
  </si>
  <si>
    <t>2027Q4</t>
  </si>
  <si>
    <t>2028Q1</t>
  </si>
  <si>
    <t>2028Q2</t>
  </si>
  <si>
    <t>2028Q3</t>
  </si>
  <si>
    <t>2028Q4</t>
  </si>
  <si>
    <t>2029Q1</t>
  </si>
  <si>
    <t>2029Q2</t>
  </si>
  <si>
    <t>2029Q3</t>
  </si>
  <si>
    <t>2029Q4</t>
  </si>
  <si>
    <t>2030Q1</t>
  </si>
  <si>
    <t>CPI forecast index</t>
  </si>
  <si>
    <t>CPI outturn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</si>
  <si>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</si>
  <si>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</si>
  <si>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</si>
  <si>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</si>
  <si>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</si>
  <si>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</si>
  <si>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</si>
  <si>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</si>
  <si>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</si>
  <si>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</si>
  <si>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</si>
  <si>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</si>
  <si>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</si>
  <si>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</si>
  <si>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</si>
  <si>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</si>
  <si>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</si>
  <si>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</si>
  <si>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</si>
  <si>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</si>
  <si>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</si>
  <si>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</si>
  <si>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</si>
  <si>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</si>
  <si>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</si>
  <si>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</si>
  <si>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</si>
  <si>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</si>
  <si>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</si>
  <si>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</si>
  <si>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</si>
  <si>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</si>
  <si>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</si>
  <si>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</si>
  <si>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</si>
  <si>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</si>
  <si>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</si>
  <si>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</si>
  <si>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</si>
  <si>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</si>
  <si>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</si>
  <si>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</si>
  <si>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</si>
  <si>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</si>
  <si>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</si>
  <si>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</si>
  <si>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</si>
  <si>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</si>
  <si>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</si>
  <si>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</si>
  <si>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</si>
  <si>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</si>
  <si>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</si>
  <si>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</si>
  <si>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</si>
  <si>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</si>
  <si>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</si>
  <si>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</si>
  <si>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</si>
  <si>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</si>
  <si>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</si>
  <si>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</si>
  <si>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</si>
  <si>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</si>
  <si>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</si>
  <si>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</si>
  <si>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</si>
  <si>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</si>
  <si>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</si>
  <si>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</si>
  <si>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</si>
  <si>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</si>
  <si>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</si>
  <si>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</si>
  <si>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</si>
  <si>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</si>
  <si>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</si>
  <si>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</si>
  <si>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</si>
  <si>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</si>
  <si>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</si>
  <si>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</si>
  <si>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</si>
  <si>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</si>
  <si>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</si>
  <si>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</si>
  <si>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</si>
  <si>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</si>
  <si>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</si>
  <si>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</si>
  <si>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</si>
  <si>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</si>
  <si>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</si>
  <si>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</si>
  <si>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</si>
  <si>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</si>
  <si>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</si>
  <si>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</si>
  <si>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</si>
  <si>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</si>
  <si>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</si>
  <si>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</si>
  <si>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</si>
  <si>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</si>
  <si>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</si>
  <si>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</si>
  <si>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</si>
  <si>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</si>
  <si>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</si>
  <si>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</si>
  <si>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</si>
  <si>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CPI outturn index</t>
  </si>
  <si>
    <t>1996Q1</t>
  </si>
  <si>
    <t>1996Q2</t>
  </si>
  <si>
    <t>1996Q3</t>
  </si>
  <si>
    <t>1996Q4</t>
  </si>
  <si>
    <t>GDP deflator forecast</t>
  </si>
  <si>
    <t>GDP deflator forecast index</t>
  </si>
  <si>
    <t>GDP deflator outturn</t>
  </si>
  <si>
    <t>GDP deflator outturn index</t>
  </si>
  <si>
    <t>RPI forecast</t>
  </si>
  <si>
    <t>RPI forecast index</t>
  </si>
  <si>
    <t>RPI outturn</t>
  </si>
  <si>
    <t>RPI outturn index</t>
  </si>
  <si>
    <t>RPIX forecast</t>
  </si>
  <si>
    <t>RPIX forecast index</t>
  </si>
  <si>
    <t>RPIX outturn</t>
  </si>
  <si>
    <t>Column Labels</t>
  </si>
  <si>
    <t>Grand Total</t>
  </si>
  <si>
    <t>Row Labels</t>
  </si>
  <si>
    <t>Sum of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</si>
</sst>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 applyAlignment="1">
      <alignment vertical="center" wrapText="1"/>
    </xf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c0918bc62ee91db/Documents/1%20OLLIE/0.%20R/UK_economic_model/data/GDP_deflator.xls" TargetMode="External"/><Relationship Id="rId1" Type="http://schemas.openxmlformats.org/officeDocument/2006/relationships/externalLinkPath" Target="GDP_deflato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</sheetNames>
    <sheetDataSet>
      <sheetData sheetId="0">
        <row r="56">
          <cell r="B56">
            <v>4.0999999999999996</v>
          </cell>
        </row>
        <row r="57">
          <cell r="B57">
            <v>0</v>
          </cell>
        </row>
        <row r="58">
          <cell r="B58">
            <v>1.3</v>
          </cell>
        </row>
        <row r="59">
          <cell r="B59">
            <v>1.4</v>
          </cell>
        </row>
        <row r="60">
          <cell r="B60">
            <v>1</v>
          </cell>
        </row>
        <row r="61">
          <cell r="B61">
            <v>1.7</v>
          </cell>
        </row>
        <row r="62">
          <cell r="B62">
            <v>2.1</v>
          </cell>
        </row>
        <row r="63">
          <cell r="B63">
            <v>2.4</v>
          </cell>
        </row>
        <row r="64">
          <cell r="B64">
            <v>2.7</v>
          </cell>
        </row>
        <row r="65">
          <cell r="B65">
            <v>2.9</v>
          </cell>
        </row>
        <row r="66">
          <cell r="B66">
            <v>3.1</v>
          </cell>
        </row>
        <row r="67">
          <cell r="B67">
            <v>2</v>
          </cell>
        </row>
        <row r="68">
          <cell r="B68">
            <v>3.3</v>
          </cell>
        </row>
        <row r="69">
          <cell r="B69">
            <v>2</v>
          </cell>
        </row>
        <row r="70">
          <cell r="B70">
            <v>1.3</v>
          </cell>
        </row>
        <row r="71">
          <cell r="B71">
            <v>2.5</v>
          </cell>
        </row>
        <row r="72">
          <cell r="B72">
            <v>1.5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r Hogan" refreshedDate="46088.600167939818" createdVersion="8" refreshedVersion="8" minRefreshableVersion="3" recordCount="864" xr:uid="{71035F15-0A43-4144-80CD-D7AC311714D1}">
  <cacheSource type="worksheet">
    <worksheetSource ref="A1:C865" sheet="UK_OBR_inflation"/>
  </cacheSource>
  <cacheFields count="3">
    <cacheField name="Inflation" numFmtId="0">
      <sharedItems count="15">
        <s v="CPI forecast"/>
        <s v="CPI forecast index"/>
        <s v="CPI outturn"/>
        <s v="CPI outturn index"/>
        <s v="GDP deflator forecast"/>
        <s v="GDP deflator forecast index"/>
        <s v="GDP deflator outturn"/>
        <s v="GDP deflator outturn index"/>
        <s v="RPI forecast"/>
        <s v="RPI forecast index"/>
        <s v="RPI outturn"/>
        <s v="RPI outturn index"/>
        <s v="RPIX forecast"/>
        <s v="RPIX forecast index"/>
        <s v="RPIX outturn"/>
      </sharedItems>
    </cacheField>
    <cacheField name="Quarter" numFmtId="0">
      <sharedItems count="137">
        <s v="2024Q4"/>
        <s v="2025Q1"/>
        <s v="2025Q2"/>
        <s v="2025Q3"/>
        <s v="2025Q4"/>
        <s v="2026Q1"/>
        <s v="2026Q2"/>
        <s v="2026Q3"/>
        <s v="2026Q4"/>
        <s v="2027Q1"/>
        <s v="2027Q2"/>
        <s v="2027Q3"/>
        <s v="2027Q4"/>
        <s v="2028Q1"/>
        <s v="2028Q2"/>
        <s v="2028Q3"/>
        <s v="2028Q4"/>
        <s v="2029Q1"/>
        <s v="2029Q2"/>
        <s v="2029Q3"/>
        <s v="2029Q4"/>
        <s v="2030Q1"/>
        <s v="1997Q1"/>
        <s v="1997Q2"/>
        <s v="1997Q3"/>
        <s v="1997Q4"/>
        <s v="1998Q1"/>
        <s v="1998Q2"/>
        <s v="1998Q3"/>
        <s v="1998Q4"/>
        <s v="1999Q1"/>
        <s v="1999Q2"/>
        <s v="1999Q3"/>
        <s v="1999Q4"/>
        <s v="2000Q1"/>
        <s v="2000Q2"/>
        <s v="2000Q3"/>
        <s v="2000Q4"/>
        <s v="2001Q1"/>
        <s v="2001Q2"/>
        <s v="2001Q3"/>
        <s v="2001Q4"/>
        <s v="2002Q1"/>
        <s v="2002Q2"/>
        <s v="2002Q3"/>
        <s v="2002Q4"/>
        <s v="2003Q1"/>
        <s v="2003Q2"/>
        <s v="2003Q3"/>
        <s v="2003Q4"/>
        <s v="2004Q1"/>
        <s v="2004Q2"/>
        <s v="2004Q3"/>
        <s v="2004Q4"/>
        <s v="2005Q1"/>
        <s v="2005Q2"/>
        <s v="2005Q3"/>
        <s v="2005Q4"/>
        <s v="2006Q1"/>
        <s v="2006Q2"/>
        <s v="2006Q3"/>
        <s v="2006Q4"/>
        <s v="2007Q1"/>
        <s v="2007Q2"/>
        <s v="2007Q3"/>
        <s v="2007Q4"/>
        <s v="2008Q1"/>
        <s v="2008Q2"/>
        <s v="2008Q3"/>
        <s v="2008Q4"/>
        <s v="2009Q1"/>
        <s v="2009Q2"/>
        <s v="2009Q3"/>
        <s v="2009Q4"/>
        <s v="2010Q1"/>
        <s v="2010Q2"/>
        <s v="2010Q3"/>
        <s v="2010Q4"/>
        <s v="2011Q1"/>
        <s v="2011Q2"/>
        <s v="2011Q3"/>
        <s v="2011Q4"/>
        <s v="2012Q1"/>
        <s v="2012Q2"/>
        <s v="2012Q3"/>
        <s v="2012Q4"/>
        <s v="2013Q1"/>
        <s v="2013Q2"/>
        <s v="2013Q3"/>
        <s v="2013Q4"/>
        <s v="2014Q1"/>
        <s v="2014Q2"/>
        <s v="2014Q3"/>
        <s v="2014Q4"/>
        <s v="2015Q1"/>
        <s v="2015Q2"/>
        <s v="2015Q3"/>
        <s v="2015Q4"/>
        <s v="2016Q1"/>
        <s v="2016Q2"/>
        <s v="2016Q3"/>
        <s v="2016Q4"/>
        <s v="2017Q1"/>
        <s v="2017Q2"/>
        <s v="2017Q3"/>
        <s v="2017Q4"/>
        <s v="2018Q1"/>
        <s v="2018Q2"/>
        <s v="2018Q3"/>
        <s v="2018Q4"/>
        <s v="2019Q1"/>
        <s v="2019Q2"/>
        <s v="2019Q3"/>
        <s v="2019Q4"/>
        <s v="2020Q1"/>
        <s v="2020Q2"/>
        <s v="2020Q3"/>
        <s v="2020Q4"/>
        <s v="2021Q1"/>
        <s v="2021Q2"/>
        <s v="2021Q3"/>
        <s v="2021Q4"/>
        <s v="2022Q1"/>
        <s v="2022Q2"/>
        <s v="2022Q3"/>
        <s v="2022Q4"/>
        <s v="2023Q1"/>
        <s v="2023Q2"/>
        <s v="2023Q3"/>
        <s v="2023Q4"/>
        <s v="2024Q1"/>
        <s v="2024Q2"/>
        <s v="2024Q3"/>
        <s v="1996Q1"/>
        <s v="1996Q2"/>
        <s v="1996Q3"/>
        <s v="1996Q4"/>
      </sharedItems>
    </cacheField>
    <cacheField name="Value" numFmtId="0">
      <sharedItems containsSemiMixedTypes="0" containsString="0" containsNumber="1" minValue="-47.585294716" maxValue="457.913517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4">
  <r>
    <x v="0"/>
    <x v="0"/>
    <n v="2.4685994849999999"/>
  </r>
  <r>
    <x v="0"/>
    <x v="1"/>
    <n v="2.7088726219999999"/>
  </r>
  <r>
    <x v="0"/>
    <x v="2"/>
    <n v="3.3030662639999999"/>
  </r>
  <r>
    <x v="0"/>
    <x v="3"/>
    <n v="3.686861645"/>
  </r>
  <r>
    <x v="0"/>
    <x v="4"/>
    <n v="3.1469548619999999"/>
  </r>
  <r>
    <x v="0"/>
    <x v="5"/>
    <n v="2.6086100590000001"/>
  </r>
  <r>
    <x v="0"/>
    <x v="6"/>
    <n v="2.037286565"/>
  </r>
  <r>
    <x v="0"/>
    <x v="7"/>
    <n v="1.807627756"/>
  </r>
  <r>
    <x v="0"/>
    <x v="8"/>
    <n v="1.897723807"/>
  </r>
  <r>
    <x v="0"/>
    <x v="9"/>
    <n v="1.9720394919999999"/>
  </r>
  <r>
    <x v="0"/>
    <x v="10"/>
    <n v="1.9839849110000001"/>
  </r>
  <r>
    <x v="0"/>
    <x v="11"/>
    <n v="2"/>
  </r>
  <r>
    <x v="0"/>
    <x v="12"/>
    <n v="2"/>
  </r>
  <r>
    <x v="0"/>
    <x v="13"/>
    <n v="2"/>
  </r>
  <r>
    <x v="0"/>
    <x v="14"/>
    <n v="2.0006912909999999"/>
  </r>
  <r>
    <x v="0"/>
    <x v="15"/>
    <n v="2.000225854"/>
  </r>
  <r>
    <x v="0"/>
    <x v="16"/>
    <n v="2.0007676779999999"/>
  </r>
  <r>
    <x v="0"/>
    <x v="17"/>
    <n v="1.999924531"/>
  </r>
  <r>
    <x v="0"/>
    <x v="18"/>
    <n v="1.999900233"/>
  </r>
  <r>
    <x v="0"/>
    <x v="19"/>
    <n v="2.000222569"/>
  </r>
  <r>
    <x v="0"/>
    <x v="20"/>
    <n v="1.999630088"/>
  </r>
  <r>
    <x v="0"/>
    <x v="21"/>
    <n v="1.9993326199999999"/>
  </r>
  <r>
    <x v="1"/>
    <x v="0"/>
    <n v="135.235666667"/>
  </r>
  <r>
    <x v="1"/>
    <x v="1"/>
    <n v="135.83796184900001"/>
  </r>
  <r>
    <x v="1"/>
    <x v="2"/>
    <n v="138.24119630499999"/>
  </r>
  <r>
    <x v="1"/>
    <x v="3"/>
    <n v="139.04477271100001"/>
  </r>
  <r>
    <x v="1"/>
    <x v="4"/>
    <n v="139.49147205400001"/>
  </r>
  <r>
    <x v="1"/>
    <x v="5"/>
    <n v="139.38144458599999"/>
  </r>
  <r>
    <x v="1"/>
    <x v="6"/>
    <n v="141.057565625"/>
  </r>
  <r>
    <x v="1"/>
    <x v="7"/>
    <n v="141.55818461600001"/>
  </r>
  <r>
    <x v="1"/>
    <x v="8"/>
    <n v="142.13863492799999"/>
  </r>
  <r>
    <x v="1"/>
    <x v="9"/>
    <n v="142.13010171799999"/>
  </r>
  <r>
    <x v="1"/>
    <x v="10"/>
    <n v="143.85612644299999"/>
  </r>
  <r>
    <x v="1"/>
    <x v="11"/>
    <n v="144.389348308"/>
  </r>
  <r>
    <x v="1"/>
    <x v="12"/>
    <n v="144.98140762700001"/>
  </r>
  <r>
    <x v="1"/>
    <x v="13"/>
    <n v="144.972703752"/>
  </r>
  <r>
    <x v="1"/>
    <x v="14"/>
    <n v="146.73424343600001"/>
  </r>
  <r>
    <x v="1"/>
    <x v="15"/>
    <n v="147.277461383"/>
  </r>
  <r>
    <x v="1"/>
    <x v="16"/>
    <n v="147.88214876999999"/>
  </r>
  <r>
    <x v="1"/>
    <x v="17"/>
    <n v="147.87204841799999"/>
  </r>
  <r>
    <x v="1"/>
    <x v="18"/>
    <n v="149.668781913"/>
  </r>
  <r>
    <x v="1"/>
    <x v="19"/>
    <n v="150.22333840499999"/>
  </r>
  <r>
    <x v="1"/>
    <x v="20"/>
    <n v="150.83924471099999"/>
  </r>
  <r>
    <x v="1"/>
    <x v="21"/>
    <n v="150.828502517"/>
  </r>
  <r>
    <x v="2"/>
    <x v="22"/>
    <n v="1.908957416"/>
  </r>
  <r>
    <x v="2"/>
    <x v="23"/>
    <n v="1.5965166909999999"/>
  </r>
  <r>
    <x v="2"/>
    <x v="24"/>
    <n v="2.0319303340000001"/>
  </r>
  <r>
    <x v="2"/>
    <x v="25"/>
    <n v="1.729106628"/>
  </r>
  <r>
    <x v="2"/>
    <x v="26"/>
    <n v="1.585014409"/>
  </r>
  <r>
    <x v="2"/>
    <x v="27"/>
    <n v="1.8571428569999999"/>
  </r>
  <r>
    <x v="2"/>
    <x v="28"/>
    <n v="1.280227596"/>
  </r>
  <r>
    <x v="2"/>
    <x v="29"/>
    <n v="1.416430595"/>
  </r>
  <r>
    <x v="2"/>
    <x v="30"/>
    <n v="1.5602836879999999"/>
  </r>
  <r>
    <x v="2"/>
    <x v="31"/>
    <n v="1.402524544"/>
  </r>
  <r>
    <x v="2"/>
    <x v="32"/>
    <n v="1.2640449439999999"/>
  </r>
  <r>
    <x v="2"/>
    <x v="33"/>
    <n v="1.2569832400000001"/>
  </r>
  <r>
    <x v="2"/>
    <x v="34"/>
    <n v="0.69832402199999999"/>
  </r>
  <r>
    <x v="2"/>
    <x v="35"/>
    <n v="0.553250346"/>
  </r>
  <r>
    <x v="2"/>
    <x v="36"/>
    <n v="0.83217753100000003"/>
  </r>
  <r>
    <x v="2"/>
    <x v="37"/>
    <n v="0.96551724100000003"/>
  </r>
  <r>
    <x v="2"/>
    <x v="38"/>
    <n v="0.97087378599999996"/>
  </r>
  <r>
    <x v="2"/>
    <x v="39"/>
    <n v="1.5130674"/>
  </r>
  <r>
    <x v="2"/>
    <x v="40"/>
    <n v="1.5130674"/>
  </r>
  <r>
    <x v="2"/>
    <x v="41"/>
    <n v="0.95628415300000003"/>
  </r>
  <r>
    <x v="2"/>
    <x v="42"/>
    <n v="1.5109890109999999"/>
  </r>
  <r>
    <x v="2"/>
    <x v="43"/>
    <n v="0.94850948499999999"/>
  </r>
  <r>
    <x v="2"/>
    <x v="44"/>
    <n v="1.0840108399999999"/>
  </r>
  <r>
    <x v="2"/>
    <x v="45"/>
    <n v="1.4884979700000001"/>
  </r>
  <r>
    <x v="2"/>
    <x v="46"/>
    <n v="1.4884979700000001"/>
  </r>
  <r>
    <x v="2"/>
    <x v="47"/>
    <n v="1.342281879"/>
  </r>
  <r>
    <x v="2"/>
    <x v="48"/>
    <n v="1.3404825739999999"/>
  </r>
  <r>
    <x v="2"/>
    <x v="49"/>
    <n v="1.3333333329999999"/>
  </r>
  <r>
    <x v="2"/>
    <x v="50"/>
    <n v="1.2"/>
  </r>
  <r>
    <x v="2"/>
    <x v="51"/>
    <n v="1.324503311"/>
  </r>
  <r>
    <x v="2"/>
    <x v="52"/>
    <n v="1.3227513230000001"/>
  </r>
  <r>
    <x v="2"/>
    <x v="53"/>
    <n v="1.447368421"/>
  </r>
  <r>
    <x v="2"/>
    <x v="54"/>
    <n v="1.8445322790000001"/>
  </r>
  <r>
    <x v="2"/>
    <x v="55"/>
    <n v="1.9607843140000001"/>
  </r>
  <r>
    <x v="2"/>
    <x v="56"/>
    <n v="2.3498694520000001"/>
  </r>
  <r>
    <x v="2"/>
    <x v="57"/>
    <n v="2.2049286640000001"/>
  </r>
  <r>
    <x v="2"/>
    <x v="58"/>
    <n v="1.811125485"/>
  </r>
  <r>
    <x v="2"/>
    <x v="59"/>
    <n v="2.307692308"/>
  </r>
  <r>
    <x v="2"/>
    <x v="60"/>
    <n v="2.423469388"/>
  </r>
  <r>
    <x v="2"/>
    <x v="61"/>
    <n v="2.6649746190000001"/>
  </r>
  <r>
    <x v="2"/>
    <x v="62"/>
    <n v="2.9224904700000001"/>
  </r>
  <r>
    <x v="2"/>
    <x v="63"/>
    <n v="2.5062656639999998"/>
  </r>
  <r>
    <x v="2"/>
    <x v="64"/>
    <n v="1.7434620169999999"/>
  </r>
  <r>
    <x v="2"/>
    <x v="65"/>
    <n v="2.101359703"/>
  </r>
  <r>
    <x v="2"/>
    <x v="66"/>
    <n v="2.3757201650000002"/>
  </r>
  <r>
    <x v="2"/>
    <x v="67"/>
    <n v="3.4197229010000001"/>
  </r>
  <r>
    <x v="2"/>
    <x v="68"/>
    <n v="4.8388412890000003"/>
  </r>
  <r>
    <x v="2"/>
    <x v="69"/>
    <n v="3.8240516549999999"/>
  </r>
  <r>
    <x v="2"/>
    <x v="70"/>
    <n v="3.005551246"/>
  </r>
  <r>
    <x v="2"/>
    <x v="71"/>
    <n v="2.088718321"/>
  </r>
  <r>
    <x v="2"/>
    <x v="72"/>
    <n v="1.4897260269999999"/>
  </r>
  <r>
    <x v="2"/>
    <x v="73"/>
    <n v="2.1031887930000002"/>
  </r>
  <r>
    <x v="2"/>
    <x v="74"/>
    <n v="3.2745365849999999"/>
  </r>
  <r>
    <x v="2"/>
    <x v="75"/>
    <n v="3.4566738579999998"/>
  </r>
  <r>
    <x v="2"/>
    <x v="76"/>
    <n v="3.0852646589999999"/>
  </r>
  <r>
    <x v="2"/>
    <x v="77"/>
    <n v="3.3762614819999999"/>
  </r>
  <r>
    <x v="2"/>
    <x v="78"/>
    <n v="4.1184094680000003"/>
  </r>
  <r>
    <x v="2"/>
    <x v="79"/>
    <n v="4.3771847680000002"/>
  </r>
  <r>
    <x v="2"/>
    <x v="80"/>
    <n v="4.7058779770000001"/>
  </r>
  <r>
    <x v="2"/>
    <x v="81"/>
    <n v="4.64581891"/>
  </r>
  <r>
    <x v="2"/>
    <x v="82"/>
    <n v="3.4902373519999998"/>
  </r>
  <r>
    <x v="2"/>
    <x v="83"/>
    <n v="2.7553595299999998"/>
  </r>
  <r>
    <x v="2"/>
    <x v="84"/>
    <n v="2.412561948"/>
  </r>
  <r>
    <x v="2"/>
    <x v="85"/>
    <n v="2.6698619149999998"/>
  </r>
  <r>
    <x v="2"/>
    <x v="86"/>
    <n v="2.7763653009999998"/>
  </r>
  <r>
    <x v="2"/>
    <x v="87"/>
    <n v="2.6793882240000002"/>
  </r>
  <r>
    <x v="2"/>
    <x v="88"/>
    <n v="2.70886234"/>
  </r>
  <r>
    <x v="2"/>
    <x v="89"/>
    <n v="2.1027628969999999"/>
  </r>
  <r>
    <x v="2"/>
    <x v="90"/>
    <n v="1.7391512039999999"/>
  </r>
  <r>
    <x v="2"/>
    <x v="91"/>
    <n v="1.720563426"/>
  </r>
  <r>
    <x v="2"/>
    <x v="92"/>
    <n v="1.456000811"/>
  </r>
  <r>
    <x v="2"/>
    <x v="93"/>
    <n v="0.93523199499999998"/>
  </r>
  <r>
    <x v="2"/>
    <x v="94"/>
    <n v="0.100613406"/>
  </r>
  <r>
    <x v="2"/>
    <x v="95"/>
    <n v="-1.6651513999999999E-2"/>
  </r>
  <r>
    <x v="2"/>
    <x v="96"/>
    <n v="9.653923E-3"/>
  </r>
  <r>
    <x v="2"/>
    <x v="97"/>
    <n v="6.7181056000000003E-2"/>
  </r>
  <r>
    <x v="2"/>
    <x v="98"/>
    <n v="0.34676735800000003"/>
  </r>
  <r>
    <x v="2"/>
    <x v="99"/>
    <n v="0.35140545499999998"/>
  </r>
  <r>
    <x v="2"/>
    <x v="100"/>
    <n v="0.72630440200000002"/>
  </r>
  <r>
    <x v="2"/>
    <x v="101"/>
    <n v="1.2111060149999999"/>
  </r>
  <r>
    <x v="2"/>
    <x v="102"/>
    <n v="2.1435296789999998"/>
  </r>
  <r>
    <x v="2"/>
    <x v="103"/>
    <n v="2.742981565"/>
  </r>
  <r>
    <x v="2"/>
    <x v="104"/>
    <n v="2.8168548649999998"/>
  </r>
  <r>
    <x v="2"/>
    <x v="105"/>
    <n v="3.0217452699999998"/>
  </r>
  <r>
    <x v="2"/>
    <x v="106"/>
    <n v="2.7176506740000002"/>
  </r>
  <r>
    <x v="2"/>
    <x v="107"/>
    <n v="2.4164733699999998"/>
  </r>
  <r>
    <x v="2"/>
    <x v="108"/>
    <n v="2.5153391979999999"/>
  </r>
  <r>
    <x v="2"/>
    <x v="109"/>
    <n v="2.2682068540000002"/>
  </r>
  <r>
    <x v="2"/>
    <x v="110"/>
    <n v="1.875"/>
  </r>
  <r>
    <x v="2"/>
    <x v="111"/>
    <n v="2.0478074080000002"/>
  </r>
  <r>
    <x v="2"/>
    <x v="112"/>
    <n v="1.832848942"/>
  </r>
  <r>
    <x v="2"/>
    <x v="113"/>
    <n v="1.413459501"/>
  </r>
  <r>
    <x v="2"/>
    <x v="114"/>
    <n v="1.6671248110000001"/>
  </r>
  <r>
    <x v="2"/>
    <x v="115"/>
    <n v="0.61666573899999999"/>
  </r>
  <r>
    <x v="2"/>
    <x v="116"/>
    <n v="0.59666936599999998"/>
  </r>
  <r>
    <x v="2"/>
    <x v="117"/>
    <n v="0.53353166600000002"/>
  </r>
  <r>
    <x v="2"/>
    <x v="118"/>
    <n v="0.609581865"/>
  </r>
  <r>
    <x v="2"/>
    <x v="119"/>
    <n v="2.0518633890000002"/>
  </r>
  <r>
    <x v="2"/>
    <x v="120"/>
    <n v="2.771614214"/>
  </r>
  <r>
    <x v="2"/>
    <x v="121"/>
    <n v="4.9074484509999996"/>
  </r>
  <r>
    <x v="2"/>
    <x v="122"/>
    <n v="6.2195185259999999"/>
  </r>
  <r>
    <x v="2"/>
    <x v="123"/>
    <n v="9.1692053900000001"/>
  </r>
  <r>
    <x v="2"/>
    <x v="124"/>
    <n v="10.022126462999999"/>
  </r>
  <r>
    <x v="2"/>
    <x v="125"/>
    <n v="10.749545412"/>
  </r>
  <r>
    <x v="2"/>
    <x v="126"/>
    <n v="10.174832311999999"/>
  </r>
  <r>
    <x v="2"/>
    <x v="127"/>
    <n v="8.427754814"/>
  </r>
  <r>
    <x v="2"/>
    <x v="128"/>
    <n v="6.7118508270000001"/>
  </r>
  <r>
    <x v="2"/>
    <x v="129"/>
    <n v="4.1772681470000004"/>
  </r>
  <r>
    <x v="2"/>
    <x v="130"/>
    <n v="3.5377561590000002"/>
  </r>
  <r>
    <x v="2"/>
    <x v="131"/>
    <n v="2.0988784620000001"/>
  </r>
  <r>
    <x v="2"/>
    <x v="132"/>
    <n v="2.0428765649999998"/>
  </r>
  <r>
    <x v="2"/>
    <x v="0"/>
    <n v="2.4685994849999999"/>
  </r>
  <r>
    <x v="3"/>
    <x v="133"/>
    <n v="68.099999999999994"/>
  </r>
  <r>
    <x v="3"/>
    <x v="134"/>
    <n v="68.900000000000006"/>
  </r>
  <r>
    <x v="3"/>
    <x v="135"/>
    <n v="68.900000000000006"/>
  </r>
  <r>
    <x v="3"/>
    <x v="136"/>
    <n v="69.400000000000006"/>
  </r>
  <r>
    <x v="3"/>
    <x v="22"/>
    <n v="69.400000000000006"/>
  </r>
  <r>
    <x v="3"/>
    <x v="23"/>
    <n v="70"/>
  </r>
  <r>
    <x v="3"/>
    <x v="24"/>
    <n v="70.3"/>
  </r>
  <r>
    <x v="3"/>
    <x v="25"/>
    <n v="70.599999999999994"/>
  </r>
  <r>
    <x v="3"/>
    <x v="26"/>
    <n v="70.5"/>
  </r>
  <r>
    <x v="3"/>
    <x v="27"/>
    <n v="71.3"/>
  </r>
  <r>
    <x v="3"/>
    <x v="28"/>
    <n v="71.2"/>
  </r>
  <r>
    <x v="3"/>
    <x v="29"/>
    <n v="71.599999999999994"/>
  </r>
  <r>
    <x v="3"/>
    <x v="30"/>
    <n v="71.599999999999994"/>
  </r>
  <r>
    <x v="3"/>
    <x v="31"/>
    <n v="72.3"/>
  </r>
  <r>
    <x v="3"/>
    <x v="32"/>
    <n v="72.099999999999994"/>
  </r>
  <r>
    <x v="3"/>
    <x v="33"/>
    <n v="72.5"/>
  </r>
  <r>
    <x v="3"/>
    <x v="34"/>
    <n v="72.099999999999994"/>
  </r>
  <r>
    <x v="3"/>
    <x v="35"/>
    <n v="72.7"/>
  </r>
  <r>
    <x v="3"/>
    <x v="36"/>
    <n v="72.7"/>
  </r>
  <r>
    <x v="3"/>
    <x v="37"/>
    <n v="73.2"/>
  </r>
  <r>
    <x v="3"/>
    <x v="38"/>
    <n v="72.8"/>
  </r>
  <r>
    <x v="3"/>
    <x v="39"/>
    <n v="73.8"/>
  </r>
  <r>
    <x v="3"/>
    <x v="40"/>
    <n v="73.8"/>
  </r>
  <r>
    <x v="3"/>
    <x v="41"/>
    <n v="73.900000000000006"/>
  </r>
  <r>
    <x v="3"/>
    <x v="42"/>
    <n v="73.900000000000006"/>
  </r>
  <r>
    <x v="3"/>
    <x v="43"/>
    <n v="74.5"/>
  </r>
  <r>
    <x v="3"/>
    <x v="44"/>
    <n v="74.599999999999994"/>
  </r>
  <r>
    <x v="3"/>
    <x v="45"/>
    <n v="75"/>
  </r>
  <r>
    <x v="3"/>
    <x v="46"/>
    <n v="75"/>
  </r>
  <r>
    <x v="3"/>
    <x v="47"/>
    <n v="75.5"/>
  </r>
  <r>
    <x v="3"/>
    <x v="48"/>
    <n v="75.599999999999994"/>
  </r>
  <r>
    <x v="3"/>
    <x v="49"/>
    <n v="76"/>
  </r>
  <r>
    <x v="3"/>
    <x v="50"/>
    <n v="75.900000000000006"/>
  </r>
  <r>
    <x v="3"/>
    <x v="51"/>
    <n v="76.5"/>
  </r>
  <r>
    <x v="3"/>
    <x v="52"/>
    <n v="76.599999999999994"/>
  </r>
  <r>
    <x v="3"/>
    <x v="53"/>
    <n v="77.099999999999994"/>
  </r>
  <r>
    <x v="3"/>
    <x v="54"/>
    <n v="77.3"/>
  </r>
  <r>
    <x v="3"/>
    <x v="55"/>
    <n v="78"/>
  </r>
  <r>
    <x v="3"/>
    <x v="56"/>
    <n v="78.400000000000006"/>
  </r>
  <r>
    <x v="3"/>
    <x v="57"/>
    <n v="78.8"/>
  </r>
  <r>
    <x v="3"/>
    <x v="58"/>
    <n v="78.7"/>
  </r>
  <r>
    <x v="3"/>
    <x v="59"/>
    <n v="79.8"/>
  </r>
  <r>
    <x v="3"/>
    <x v="60"/>
    <n v="80.3"/>
  </r>
  <r>
    <x v="3"/>
    <x v="61"/>
    <n v="80.900000000000006"/>
  </r>
  <r>
    <x v="3"/>
    <x v="62"/>
    <n v="81"/>
  </r>
  <r>
    <x v="3"/>
    <x v="63"/>
    <n v="81.8"/>
  </r>
  <r>
    <x v="3"/>
    <x v="64"/>
    <n v="81.7"/>
  </r>
  <r>
    <x v="3"/>
    <x v="65"/>
    <n v="82.6"/>
  </r>
  <r>
    <x v="3"/>
    <x v="66"/>
    <n v="82.924333333000007"/>
  </r>
  <r>
    <x v="3"/>
    <x v="67"/>
    <n v="84.597333332999995"/>
  </r>
  <r>
    <x v="3"/>
    <x v="68"/>
    <n v="85.653333333000006"/>
  </r>
  <r>
    <x v="3"/>
    <x v="69"/>
    <n v="85.758666667"/>
  </r>
  <r>
    <x v="3"/>
    <x v="70"/>
    <n v="85.416666667000001"/>
  </r>
  <r>
    <x v="3"/>
    <x v="71"/>
    <n v="86.364333333000005"/>
  </r>
  <r>
    <x v="3"/>
    <x v="72"/>
    <n v="86.929333333000002"/>
  </r>
  <r>
    <x v="3"/>
    <x v="73"/>
    <n v="87.562333332999998"/>
  </r>
  <r>
    <x v="3"/>
    <x v="74"/>
    <n v="88.213666666999998"/>
  </r>
  <r>
    <x v="3"/>
    <x v="75"/>
    <n v="89.349666666999994"/>
  </r>
  <r>
    <x v="3"/>
    <x v="76"/>
    <n v="89.611333333000005"/>
  </r>
  <r>
    <x v="3"/>
    <x v="77"/>
    <n v="90.518666667000005"/>
  </r>
  <r>
    <x v="3"/>
    <x v="78"/>
    <n v="91.846666666999994"/>
  </r>
  <r>
    <x v="3"/>
    <x v="79"/>
    <n v="93.260666666999995"/>
  </r>
  <r>
    <x v="3"/>
    <x v="80"/>
    <n v="93.828333333000003"/>
  </r>
  <r>
    <x v="3"/>
    <x v="81"/>
    <n v="94.724000000000004"/>
  </r>
  <r>
    <x v="3"/>
    <x v="82"/>
    <n v="95.052333333000007"/>
  </r>
  <r>
    <x v="3"/>
    <x v="83"/>
    <n v="95.830333332999999"/>
  </r>
  <r>
    <x v="3"/>
    <x v="84"/>
    <n v="96.091999999999999"/>
  </r>
  <r>
    <x v="3"/>
    <x v="85"/>
    <n v="97.253"/>
  </r>
  <r>
    <x v="3"/>
    <x v="86"/>
    <n v="97.691333333000003"/>
  </r>
  <r>
    <x v="3"/>
    <x v="87"/>
    <n v="98.397999999999996"/>
  </r>
  <r>
    <x v="3"/>
    <x v="88"/>
    <n v="98.694999999999993"/>
  </r>
  <r>
    <x v="3"/>
    <x v="89"/>
    <n v="99.298000000000002"/>
  </r>
  <r>
    <x v="3"/>
    <x v="90"/>
    <n v="99.390333333000001"/>
  </r>
  <r>
    <x v="3"/>
    <x v="91"/>
    <n v="100.09099999999999"/>
  </r>
  <r>
    <x v="3"/>
    <x v="92"/>
    <n v="100.13200000000001"/>
  </r>
  <r>
    <x v="3"/>
    <x v="93"/>
    <n v="100.226666667"/>
  </r>
  <r>
    <x v="3"/>
    <x v="94"/>
    <n v="99.490333332999995"/>
  </r>
  <r>
    <x v="3"/>
    <x v="95"/>
    <n v="100.074333333"/>
  </r>
  <r>
    <x v="3"/>
    <x v="96"/>
    <n v="100.141666667"/>
  </r>
  <r>
    <x v="3"/>
    <x v="97"/>
    <n v="100.294"/>
  </r>
  <r>
    <x v="3"/>
    <x v="98"/>
    <n v="99.835333332999994"/>
  </r>
  <r>
    <x v="3"/>
    <x v="99"/>
    <n v="100.426"/>
  </r>
  <r>
    <x v="3"/>
    <x v="100"/>
    <n v="100.869"/>
  </r>
  <r>
    <x v="3"/>
    <x v="101"/>
    <n v="101.508666667"/>
  </r>
  <r>
    <x v="3"/>
    <x v="102"/>
    <n v="101.97533333299999"/>
  </r>
  <r>
    <x v="3"/>
    <x v="103"/>
    <n v="103.180666667"/>
  </r>
  <r>
    <x v="3"/>
    <x v="104"/>
    <n v="103.71033333299999"/>
  </r>
  <r>
    <x v="3"/>
    <x v="105"/>
    <n v="104.57599999999999"/>
  </r>
  <r>
    <x v="3"/>
    <x v="106"/>
    <n v="104.746666667"/>
  </r>
  <r>
    <x v="3"/>
    <x v="107"/>
    <n v="105.67400000000001"/>
  </r>
  <r>
    <x v="3"/>
    <x v="108"/>
    <n v="106.319"/>
  </r>
  <r>
    <x v="3"/>
    <x v="109"/>
    <n v="106.94799999999999"/>
  </r>
  <r>
    <x v="3"/>
    <x v="110"/>
    <n v="106.710666667"/>
  </r>
  <r>
    <x v="3"/>
    <x v="111"/>
    <n v="107.83799999999999"/>
  </r>
  <r>
    <x v="3"/>
    <x v="112"/>
    <n v="108.267666667"/>
  </r>
  <r>
    <x v="3"/>
    <x v="113"/>
    <n v="108.45966666699999"/>
  </r>
  <r>
    <x v="3"/>
    <x v="114"/>
    <n v="108.48966666699999"/>
  </r>
  <r>
    <x v="3"/>
    <x v="115"/>
    <n v="108.503"/>
  </r>
  <r>
    <x v="3"/>
    <x v="116"/>
    <n v="108.913666667"/>
  </r>
  <r>
    <x v="3"/>
    <x v="117"/>
    <n v="109.038333333"/>
  </r>
  <r>
    <x v="3"/>
    <x v="118"/>
    <n v="109.151"/>
  </r>
  <r>
    <x v="3"/>
    <x v="119"/>
    <n v="110.729333333"/>
  </r>
  <r>
    <x v="3"/>
    <x v="120"/>
    <n v="111.932333333"/>
  </r>
  <r>
    <x v="3"/>
    <x v="121"/>
    <n v="114.389333333"/>
  </r>
  <r>
    <x v="3"/>
    <x v="122"/>
    <n v="115.939666667"/>
  </r>
  <r>
    <x v="3"/>
    <x v="123"/>
    <n v="120.88233333300001"/>
  </r>
  <r>
    <x v="3"/>
    <x v="124"/>
    <n v="123.15033333300001"/>
  </r>
  <r>
    <x v="3"/>
    <x v="125"/>
    <n v="126.68566666700001"/>
  </r>
  <r>
    <x v="3"/>
    <x v="126"/>
    <n v="127.736333333"/>
  </r>
  <r>
    <x v="3"/>
    <x v="127"/>
    <n v="131.07"/>
  </r>
  <r>
    <x v="3"/>
    <x v="128"/>
    <n v="131.416"/>
  </r>
  <r>
    <x v="3"/>
    <x v="129"/>
    <n v="131.97766666699999"/>
  </r>
  <r>
    <x v="3"/>
    <x v="130"/>
    <n v="132.25533333300001"/>
  </r>
  <r>
    <x v="3"/>
    <x v="131"/>
    <n v="133.821"/>
  </r>
  <r>
    <x v="3"/>
    <x v="132"/>
    <n v="134.10066666700001"/>
  </r>
  <r>
    <x v="3"/>
    <x v="0"/>
    <n v="135.235666667"/>
  </r>
  <r>
    <x v="4"/>
    <x v="0"/>
    <n v="4.3357933580000001"/>
  </r>
  <r>
    <x v="4"/>
    <x v="1"/>
    <n v="3.9761813030000002"/>
  </r>
  <r>
    <x v="4"/>
    <x v="2"/>
    <n v="3.7509129720000001"/>
  </r>
  <r>
    <x v="4"/>
    <x v="3"/>
    <n v="2.781531003"/>
  </r>
  <r>
    <x v="4"/>
    <x v="4"/>
    <n v="2.239807125"/>
  </r>
  <r>
    <x v="4"/>
    <x v="5"/>
    <n v="1.8432567959999999"/>
  </r>
  <r>
    <x v="4"/>
    <x v="6"/>
    <n v="1.6458909370000001"/>
  </r>
  <r>
    <x v="4"/>
    <x v="7"/>
    <n v="1.5730893100000001"/>
  </r>
  <r>
    <x v="4"/>
    <x v="8"/>
    <n v="1.627901732"/>
  </r>
  <r>
    <x v="4"/>
    <x v="9"/>
    <n v="1.7775703970000001"/>
  </r>
  <r>
    <x v="4"/>
    <x v="10"/>
    <n v="1.9907433269999999"/>
  </r>
  <r>
    <x v="4"/>
    <x v="11"/>
    <n v="2.0710625139999999"/>
  </r>
  <r>
    <x v="4"/>
    <x v="12"/>
    <n v="2.0602177049999999"/>
  </r>
  <r>
    <x v="4"/>
    <x v="13"/>
    <n v="2.0253607250000001"/>
  </r>
  <r>
    <x v="4"/>
    <x v="14"/>
    <n v="1.983014214"/>
  </r>
  <r>
    <x v="4"/>
    <x v="15"/>
    <n v="1.954338439"/>
  </r>
  <r>
    <x v="4"/>
    <x v="16"/>
    <n v="1.934911058"/>
  </r>
  <r>
    <x v="4"/>
    <x v="17"/>
    <n v="1.917169278"/>
  </r>
  <r>
    <x v="4"/>
    <x v="18"/>
    <n v="1.890523202"/>
  </r>
  <r>
    <x v="4"/>
    <x v="19"/>
    <n v="1.880443533"/>
  </r>
  <r>
    <x v="4"/>
    <x v="20"/>
    <n v="1.8767782099999999"/>
  </r>
  <r>
    <x v="4"/>
    <x v="21"/>
    <n v="1.8767859170000001"/>
  </r>
  <r>
    <x v="5"/>
    <x v="0"/>
    <n v="113.1"/>
  </r>
  <r>
    <x v="5"/>
    <x v="1"/>
    <n v="113.957894708"/>
  </r>
  <r>
    <x v="5"/>
    <x v="2"/>
    <n v="114.541007921"/>
  </r>
  <r>
    <x v="5"/>
    <x v="3"/>
    <n v="115.115314723"/>
  </r>
  <r>
    <x v="5"/>
    <x v="4"/>
    <n v="115.633221859"/>
  </r>
  <r>
    <x v="5"/>
    <x v="5"/>
    <n v="116.058431347"/>
  </r>
  <r>
    <x v="5"/>
    <x v="6"/>
    <n v="116.42622799"/>
  </r>
  <r>
    <x v="5"/>
    <x v="7"/>
    <n v="116.926181433"/>
  </r>
  <r>
    <x v="5"/>
    <x v="8"/>
    <n v="117.515617081"/>
  </r>
  <r>
    <x v="5"/>
    <x v="9"/>
    <n v="118.121451666"/>
  </r>
  <r>
    <x v="5"/>
    <x v="10"/>
    <n v="118.743975354"/>
  </r>
  <r>
    <x v="5"/>
    <x v="11"/>
    <n v="119.34779574700001"/>
  </r>
  <r>
    <x v="5"/>
    <x v="12"/>
    <n v="119.93669463000001"/>
  </r>
  <r>
    <x v="5"/>
    <x v="13"/>
    <n v="120.51383715599999"/>
  </r>
  <r>
    <x v="5"/>
    <x v="14"/>
    <n v="121.098685264"/>
  </r>
  <r>
    <x v="5"/>
    <x v="15"/>
    <n v="121.68025559500001"/>
  </r>
  <r>
    <x v="5"/>
    <x v="16"/>
    <n v="122.257362997"/>
  </r>
  <r>
    <x v="5"/>
    <x v="17"/>
    <n v="122.824291417"/>
  </r>
  <r>
    <x v="5"/>
    <x v="18"/>
    <n v="123.388084005"/>
  </r>
  <r>
    <x v="5"/>
    <x v="19"/>
    <n v="123.96838409199999"/>
  </r>
  <r>
    <x v="5"/>
    <x v="20"/>
    <n v="124.55186254500001"/>
  </r>
  <r>
    <x v="5"/>
    <x v="21"/>
    <n v="125.129440422"/>
  </r>
  <r>
    <x v="6"/>
    <x v="86"/>
    <n v="2.130325815"/>
  </r>
  <r>
    <x v="6"/>
    <x v="87"/>
    <n v="2.1276595739999999"/>
  </r>
  <r>
    <x v="6"/>
    <x v="88"/>
    <n v="2.3661270239999999"/>
  </r>
  <r>
    <x v="6"/>
    <x v="89"/>
    <n v="1.8564356440000001"/>
  </r>
  <r>
    <x v="6"/>
    <x v="90"/>
    <n v="1.349693252"/>
  </r>
  <r>
    <x v="6"/>
    <x v="91"/>
    <n v="1.1029411760000001"/>
  </r>
  <r>
    <x v="6"/>
    <x v="92"/>
    <n v="1.581508516"/>
  </r>
  <r>
    <x v="6"/>
    <x v="93"/>
    <n v="1.215066829"/>
  </r>
  <r>
    <x v="6"/>
    <x v="94"/>
    <n v="0.96852300199999997"/>
  </r>
  <r>
    <x v="6"/>
    <x v="95"/>
    <n v="0.84848484800000001"/>
  </r>
  <r>
    <x v="6"/>
    <x v="96"/>
    <n v="0"/>
  </r>
  <r>
    <x v="6"/>
    <x v="97"/>
    <n v="0.72028811500000001"/>
  </r>
  <r>
    <x v="6"/>
    <x v="98"/>
    <n v="1.1990407670000001"/>
  </r>
  <r>
    <x v="6"/>
    <x v="99"/>
    <n v="1.682692308"/>
  </r>
  <r>
    <x v="6"/>
    <x v="100"/>
    <n v="2.395209581"/>
  </r>
  <r>
    <x v="6"/>
    <x v="101"/>
    <n v="2.6221692490000001"/>
  </r>
  <r>
    <x v="6"/>
    <x v="102"/>
    <n v="2.3696682459999998"/>
  </r>
  <r>
    <x v="6"/>
    <x v="103"/>
    <n v="2.2458628840000001"/>
  </r>
  <r>
    <x v="6"/>
    <x v="104"/>
    <n v="1.2865497079999999"/>
  </r>
  <r>
    <x v="6"/>
    <x v="105"/>
    <n v="1.5098722419999999"/>
  </r>
  <r>
    <x v="6"/>
    <x v="106"/>
    <n v="1.273148148"/>
  </r>
  <r>
    <x v="6"/>
    <x v="107"/>
    <n v="1.849710983"/>
  </r>
  <r>
    <x v="6"/>
    <x v="108"/>
    <n v="2.3094688219999999"/>
  </r>
  <r>
    <x v="6"/>
    <x v="109"/>
    <n v="2.1739130430000002"/>
  </r>
  <r>
    <x v="6"/>
    <x v="110"/>
    <n v="2.0571428570000001"/>
  </r>
  <r>
    <x v="6"/>
    <x v="111"/>
    <n v="2.3836549379999998"/>
  </r>
  <r>
    <x v="6"/>
    <x v="112"/>
    <n v="2.257336343"/>
  </r>
  <r>
    <x v="6"/>
    <x v="113"/>
    <n v="2.015677492"/>
  </r>
  <r>
    <x v="6"/>
    <x v="114"/>
    <n v="2.911534155"/>
  </r>
  <r>
    <x v="6"/>
    <x v="115"/>
    <n v="9.5343680709999994"/>
  </r>
  <r>
    <x v="6"/>
    <x v="116"/>
    <n v="4.7461368650000004"/>
  </r>
  <r>
    <x v="6"/>
    <x v="117"/>
    <n v="3.5126234909999998"/>
  </r>
  <r>
    <x v="6"/>
    <x v="118"/>
    <n v="3.6996735580000002"/>
  </r>
  <r>
    <x v="6"/>
    <x v="119"/>
    <n v="-4.9595141700000003"/>
  </r>
  <r>
    <x v="6"/>
    <x v="120"/>
    <n v="-0.42149631199999998"/>
  </r>
  <r>
    <x v="6"/>
    <x v="121"/>
    <n v="1.378579003"/>
  </r>
  <r>
    <x v="6"/>
    <x v="122"/>
    <n v="1.783840504"/>
  </r>
  <r>
    <x v="6"/>
    <x v="123"/>
    <n v="5.5378061770000002"/>
  </r>
  <r>
    <x v="6"/>
    <x v="124"/>
    <n v="6.560846561"/>
  </r>
  <r>
    <x v="6"/>
    <x v="125"/>
    <n v="7.9497907950000002"/>
  </r>
  <r>
    <x v="6"/>
    <x v="126"/>
    <n v="8.3505154640000008"/>
  </r>
  <r>
    <x v="6"/>
    <x v="127"/>
    <n v="7.9717457109999996"/>
  </r>
  <r>
    <x v="6"/>
    <x v="128"/>
    <n v="7.2492552139999997"/>
  </r>
  <r>
    <x v="6"/>
    <x v="129"/>
    <n v="5.03875969"/>
  </r>
  <r>
    <x v="6"/>
    <x v="130"/>
    <n v="4.2816365369999998"/>
  </r>
  <r>
    <x v="6"/>
    <x v="131"/>
    <n v="3.1775700929999999"/>
  </r>
  <r>
    <x v="6"/>
    <x v="132"/>
    <n v="3.703703704"/>
  </r>
  <r>
    <x v="6"/>
    <x v="0"/>
    <n v="4.3357933580000001"/>
  </r>
  <r>
    <x v="7"/>
    <x v="82"/>
    <n v="79.8"/>
  </r>
  <r>
    <x v="7"/>
    <x v="83"/>
    <n v="79.900000000000006"/>
  </r>
  <r>
    <x v="7"/>
    <x v="84"/>
    <n v="80.3"/>
  </r>
  <r>
    <x v="7"/>
    <x v="85"/>
    <n v="80.8"/>
  </r>
  <r>
    <x v="7"/>
    <x v="86"/>
    <n v="81.5"/>
  </r>
  <r>
    <x v="7"/>
    <x v="87"/>
    <n v="81.599999999999994"/>
  </r>
  <r>
    <x v="7"/>
    <x v="88"/>
    <n v="82.2"/>
  </r>
  <r>
    <x v="7"/>
    <x v="89"/>
    <n v="82.3"/>
  </r>
  <r>
    <x v="7"/>
    <x v="90"/>
    <n v="82.6"/>
  </r>
  <r>
    <x v="7"/>
    <x v="91"/>
    <n v="82.5"/>
  </r>
  <r>
    <x v="7"/>
    <x v="92"/>
    <n v="83.5"/>
  </r>
  <r>
    <x v="7"/>
    <x v="93"/>
    <n v="83.3"/>
  </r>
  <r>
    <x v="7"/>
    <x v="94"/>
    <n v="83.4"/>
  </r>
  <r>
    <x v="7"/>
    <x v="95"/>
    <n v="83.2"/>
  </r>
  <r>
    <x v="7"/>
    <x v="96"/>
    <n v="83.5"/>
  </r>
  <r>
    <x v="7"/>
    <x v="97"/>
    <n v="83.9"/>
  </r>
  <r>
    <x v="7"/>
    <x v="98"/>
    <n v="84.4"/>
  </r>
  <r>
    <x v="7"/>
    <x v="99"/>
    <n v="84.6"/>
  </r>
  <r>
    <x v="7"/>
    <x v="100"/>
    <n v="85.5"/>
  </r>
  <r>
    <x v="7"/>
    <x v="101"/>
    <n v="86.1"/>
  </r>
  <r>
    <x v="7"/>
    <x v="102"/>
    <n v="86.4"/>
  </r>
  <r>
    <x v="7"/>
    <x v="103"/>
    <n v="86.5"/>
  </r>
  <r>
    <x v="7"/>
    <x v="104"/>
    <n v="86.6"/>
  </r>
  <r>
    <x v="7"/>
    <x v="105"/>
    <n v="87.4"/>
  </r>
  <r>
    <x v="7"/>
    <x v="106"/>
    <n v="87.5"/>
  </r>
  <r>
    <x v="7"/>
    <x v="107"/>
    <n v="88.1"/>
  </r>
  <r>
    <x v="7"/>
    <x v="108"/>
    <n v="88.6"/>
  </r>
  <r>
    <x v="7"/>
    <x v="109"/>
    <n v="89.3"/>
  </r>
  <r>
    <x v="7"/>
    <x v="110"/>
    <n v="89.3"/>
  </r>
  <r>
    <x v="7"/>
    <x v="111"/>
    <n v="90.2"/>
  </r>
  <r>
    <x v="7"/>
    <x v="112"/>
    <n v="90.6"/>
  </r>
  <r>
    <x v="7"/>
    <x v="113"/>
    <n v="91.1"/>
  </r>
  <r>
    <x v="7"/>
    <x v="114"/>
    <n v="91.9"/>
  </r>
  <r>
    <x v="7"/>
    <x v="115"/>
    <n v="98.8"/>
  </r>
  <r>
    <x v="7"/>
    <x v="116"/>
    <n v="94.9"/>
  </r>
  <r>
    <x v="7"/>
    <x v="117"/>
    <n v="94.3"/>
  </r>
  <r>
    <x v="7"/>
    <x v="118"/>
    <n v="95.3"/>
  </r>
  <r>
    <x v="7"/>
    <x v="119"/>
    <n v="93.9"/>
  </r>
  <r>
    <x v="7"/>
    <x v="120"/>
    <n v="94.5"/>
  </r>
  <r>
    <x v="7"/>
    <x v="121"/>
    <n v="95.6"/>
  </r>
  <r>
    <x v="7"/>
    <x v="122"/>
    <n v="97"/>
  </r>
  <r>
    <x v="7"/>
    <x v="123"/>
    <n v="99.1"/>
  </r>
  <r>
    <x v="7"/>
    <x v="124"/>
    <n v="100.7"/>
  </r>
  <r>
    <x v="7"/>
    <x v="125"/>
    <n v="103.2"/>
  </r>
  <r>
    <x v="7"/>
    <x v="126"/>
    <n v="105.1"/>
  </r>
  <r>
    <x v="7"/>
    <x v="127"/>
    <n v="107"/>
  </r>
  <r>
    <x v="7"/>
    <x v="128"/>
    <n v="108"/>
  </r>
  <r>
    <x v="7"/>
    <x v="129"/>
    <n v="108.4"/>
  </r>
  <r>
    <x v="7"/>
    <x v="130"/>
    <n v="109.6"/>
  </r>
  <r>
    <x v="7"/>
    <x v="131"/>
    <n v="110.4"/>
  </r>
  <r>
    <x v="7"/>
    <x v="132"/>
    <n v="112"/>
  </r>
  <r>
    <x v="7"/>
    <x v="0"/>
    <n v="113.1"/>
  </r>
  <r>
    <x v="8"/>
    <x v="0"/>
    <n v="3.49175558"/>
  </r>
  <r>
    <x v="8"/>
    <x v="1"/>
    <n v="3.4478595420000002"/>
  </r>
  <r>
    <x v="8"/>
    <x v="2"/>
    <n v="4.1248394790000003"/>
  </r>
  <r>
    <x v="8"/>
    <x v="3"/>
    <n v="4.5709283840000001"/>
  </r>
  <r>
    <x v="8"/>
    <x v="4"/>
    <n v="4.2117921989999996"/>
  </r>
  <r>
    <x v="8"/>
    <x v="5"/>
    <n v="3.7203843390000002"/>
  </r>
  <r>
    <x v="8"/>
    <x v="6"/>
    <n v="3.1953233559999998"/>
  </r>
  <r>
    <x v="8"/>
    <x v="7"/>
    <n v="2.9876288729999998"/>
  </r>
  <r>
    <x v="8"/>
    <x v="8"/>
    <n v="3.0447524939999999"/>
  </r>
  <r>
    <x v="8"/>
    <x v="9"/>
    <n v="3.0746296000000002"/>
  </r>
  <r>
    <x v="8"/>
    <x v="10"/>
    <n v="3.0615355260000001"/>
  </r>
  <r>
    <x v="8"/>
    <x v="11"/>
    <n v="3.0332157990000002"/>
  </r>
  <r>
    <x v="8"/>
    <x v="12"/>
    <n v="2.9724379669999998"/>
  </r>
  <r>
    <x v="8"/>
    <x v="13"/>
    <n v="2.922492965"/>
  </r>
  <r>
    <x v="8"/>
    <x v="14"/>
    <n v="2.8511103819999999"/>
  </r>
  <r>
    <x v="8"/>
    <x v="15"/>
    <n v="2.8186613739999999"/>
  </r>
  <r>
    <x v="8"/>
    <x v="16"/>
    <n v="2.8127976559999999"/>
  </r>
  <r>
    <x v="8"/>
    <x v="17"/>
    <n v="2.8205246210000001"/>
  </r>
  <r>
    <x v="8"/>
    <x v="18"/>
    <n v="2.8371817519999998"/>
  </r>
  <r>
    <x v="8"/>
    <x v="19"/>
    <n v="2.8361515709999998"/>
  </r>
  <r>
    <x v="8"/>
    <x v="20"/>
    <n v="2.850527391"/>
  </r>
  <r>
    <x v="8"/>
    <x v="21"/>
    <n v="2.7805866469999998"/>
  </r>
  <r>
    <x v="9"/>
    <x v="73"/>
    <n v="290.83999999999997"/>
  </r>
  <r>
    <x v="9"/>
    <x v="74"/>
    <n v="310.977755"/>
  </r>
  <r>
    <x v="9"/>
    <x v="75"/>
    <n v="263.107056"/>
  </r>
  <r>
    <x v="9"/>
    <x v="76"/>
    <n v="279.28384599999998"/>
  </r>
  <r>
    <x v="9"/>
    <x v="77"/>
    <n v="296.90782999999999"/>
  </r>
  <r>
    <x v="9"/>
    <x v="78"/>
    <n v="302.59850699999998"/>
  </r>
  <r>
    <x v="9"/>
    <x v="79"/>
    <n v="306.34029099999998"/>
  </r>
  <r>
    <x v="9"/>
    <x v="80"/>
    <n v="311.12984799999998"/>
  </r>
  <r>
    <x v="9"/>
    <x v="81"/>
    <n v="316.85687899999999"/>
  </r>
  <r>
    <x v="9"/>
    <x v="82"/>
    <n v="323.353565"/>
  </r>
  <r>
    <x v="9"/>
    <x v="83"/>
    <n v="329.535349"/>
  </r>
  <r>
    <x v="9"/>
    <x v="84"/>
    <n v="335.70624099999998"/>
  </r>
  <r>
    <x v="9"/>
    <x v="85"/>
    <n v="341.43751600000002"/>
  </r>
  <r>
    <x v="9"/>
    <x v="86"/>
    <n v="347.24930000000001"/>
  </r>
  <r>
    <x v="9"/>
    <x v="87"/>
    <n v="352.52330899999998"/>
  </r>
  <r>
    <x v="9"/>
    <x v="88"/>
    <n v="356.99577199999999"/>
  </r>
  <r>
    <x v="9"/>
    <x v="89"/>
    <n v="360.877634"/>
  </r>
  <r>
    <x v="9"/>
    <x v="90"/>
    <n v="364.24172199999998"/>
  </r>
  <r>
    <x v="9"/>
    <x v="91"/>
    <n v="367.12964699999998"/>
  </r>
  <r>
    <x v="9"/>
    <x v="92"/>
    <n v="369.26654500000001"/>
  </r>
  <r>
    <x v="9"/>
    <x v="93"/>
    <n v="370.92641099999997"/>
  </r>
  <r>
    <x v="9"/>
    <x v="94"/>
    <n v="372.71173199999998"/>
  </r>
  <r>
    <x v="9"/>
    <x v="0"/>
    <n v="391.23333300000002"/>
  </r>
  <r>
    <x v="9"/>
    <x v="1"/>
    <n v="393.79151899999999"/>
  </r>
  <r>
    <x v="9"/>
    <x v="2"/>
    <n v="402.16483799999997"/>
  </r>
  <r>
    <x v="9"/>
    <x v="3"/>
    <n v="406.43234200000001"/>
  </r>
  <r>
    <x v="9"/>
    <x v="4"/>
    <n v="407.71126800000002"/>
  </r>
  <r>
    <x v="9"/>
    <x v="5"/>
    <n v="408.44207699999998"/>
  </r>
  <r>
    <x v="9"/>
    <x v="6"/>
    <n v="415.01530500000001"/>
  </r>
  <r>
    <x v="9"/>
    <x v="7"/>
    <n v="418.57503200000002"/>
  </r>
  <r>
    <x v="9"/>
    <x v="8"/>
    <n v="420.125067"/>
  </r>
  <r>
    <x v="9"/>
    <x v="9"/>
    <n v="421.000158"/>
  </r>
  <r>
    <x v="9"/>
    <x v="10"/>
    <n v="427.72114599999998"/>
  </r>
  <r>
    <x v="9"/>
    <x v="11"/>
    <n v="431.27131600000001"/>
  </r>
  <r>
    <x v="9"/>
    <x v="12"/>
    <n v="432.613024"/>
  </r>
  <r>
    <x v="9"/>
    <x v="13"/>
    <n v="433.30385799999999"/>
  </r>
  <r>
    <x v="9"/>
    <x v="14"/>
    <n v="439.91594800000001"/>
  </r>
  <r>
    <x v="9"/>
    <x v="15"/>
    <n v="443.42739399999999"/>
  </r>
  <r>
    <x v="9"/>
    <x v="16"/>
    <n v="444.78155299999997"/>
  </r>
  <r>
    <x v="9"/>
    <x v="17"/>
    <n v="445.52530000000002"/>
  </r>
  <r>
    <x v="9"/>
    <x v="18"/>
    <n v="452.39716299999998"/>
  </r>
  <r>
    <x v="9"/>
    <x v="19"/>
    <n v="456.00366700000001"/>
  </r>
  <r>
    <x v="9"/>
    <x v="20"/>
    <n v="457.460173"/>
  </r>
  <r>
    <x v="9"/>
    <x v="21"/>
    <n v="457.91351700000001"/>
  </r>
  <r>
    <x v="10"/>
    <x v="23"/>
    <n v="4.2316566680000003"/>
  </r>
  <r>
    <x v="10"/>
    <x v="24"/>
    <n v="0.38659227699999998"/>
  </r>
  <r>
    <x v="10"/>
    <x v="25"/>
    <n v="2.3579570169999999"/>
  </r>
  <r>
    <x v="10"/>
    <x v="26"/>
    <n v="-0.87316366599999995"/>
  </r>
  <r>
    <x v="10"/>
    <x v="27"/>
    <n v="14.769557710000001"/>
  </r>
  <r>
    <x v="10"/>
    <x v="28"/>
    <n v="19.911601243"/>
  </r>
  <r>
    <x v="10"/>
    <x v="29"/>
    <n v="25.055253315000002"/>
  </r>
  <r>
    <x v="10"/>
    <x v="30"/>
    <n v="29.853051682"/>
  </r>
  <r>
    <x v="10"/>
    <x v="31"/>
    <n v="20.113412798999999"/>
  </r>
  <r>
    <x v="10"/>
    <x v="32"/>
    <n v="11.043392577000001"/>
  </r>
  <r>
    <x v="10"/>
    <x v="33"/>
    <n v="0.710328654"/>
  </r>
  <r>
    <x v="10"/>
    <x v="34"/>
    <n v="-7.5357659540000004"/>
  </r>
  <r>
    <x v="10"/>
    <x v="35"/>
    <n v="-2.3348427919999999"/>
  </r>
  <r>
    <x v="10"/>
    <x v="36"/>
    <n v="3.503467315"/>
  </r>
  <r>
    <x v="10"/>
    <x v="37"/>
    <n v="7.7652537800000001"/>
  </r>
  <r>
    <x v="10"/>
    <x v="38"/>
    <n v="34.616320711999997"/>
  </r>
  <r>
    <x v="10"/>
    <x v="39"/>
    <n v="-13.04505097"/>
  </r>
  <r>
    <x v="10"/>
    <x v="40"/>
    <n v="-7.87794113"/>
  </r>
  <r>
    <x v="10"/>
    <x v="41"/>
    <n v="-8.9468574830000005"/>
  </r>
  <r>
    <x v="10"/>
    <x v="42"/>
    <n v="-20.701500632999998"/>
  </r>
  <r>
    <x v="10"/>
    <x v="43"/>
    <n v="16.650909503000001"/>
  </r>
  <r>
    <x v="10"/>
    <x v="44"/>
    <n v="5.7769198949999998"/>
  </r>
  <r>
    <x v="10"/>
    <x v="45"/>
    <n v="3.5252441879999998"/>
  </r>
  <r>
    <x v="10"/>
    <x v="46"/>
    <n v="-5.1788157119999996"/>
  </r>
  <r>
    <x v="10"/>
    <x v="47"/>
    <n v="-2.697270311"/>
  </r>
  <r>
    <x v="10"/>
    <x v="48"/>
    <n v="-2.538451512"/>
  </r>
  <r>
    <x v="10"/>
    <x v="49"/>
    <n v="-0.647819009"/>
  </r>
  <r>
    <x v="10"/>
    <x v="50"/>
    <n v="0.41907117300000002"/>
  </r>
  <r>
    <x v="10"/>
    <x v="51"/>
    <n v="-1.75917905"/>
  </r>
  <r>
    <x v="10"/>
    <x v="52"/>
    <n v="-1.5814637730000001"/>
  </r>
  <r>
    <x v="10"/>
    <x v="53"/>
    <n v="-1.324149"/>
  </r>
  <r>
    <x v="10"/>
    <x v="54"/>
    <n v="-2.2268591369999999"/>
  </r>
  <r>
    <x v="10"/>
    <x v="55"/>
    <n v="-47.585294716"/>
  </r>
  <r>
    <x v="10"/>
    <x v="56"/>
    <n v="-15.433482809999999"/>
  </r>
  <r>
    <x v="10"/>
    <x v="57"/>
    <n v="18.092172144999999"/>
  </r>
  <r>
    <x v="10"/>
    <x v="58"/>
    <n v="53.577301192999997"/>
  </r>
  <r>
    <x v="10"/>
    <x v="59"/>
    <n v="185.73924296300001"/>
  </r>
  <r>
    <x v="10"/>
    <x v="60"/>
    <n v="33.836821596"/>
  </r>
  <r>
    <x v="10"/>
    <x v="61"/>
    <n v="-22.755315791000001"/>
  </r>
  <r>
    <x v="10"/>
    <x v="62"/>
    <n v="-24.393466524000001"/>
  </r>
  <r>
    <x v="10"/>
    <x v="63"/>
    <n v="-28.156065305999999"/>
  </r>
  <r>
    <x v="10"/>
    <x v="64"/>
    <n v="-7.5549285629999998"/>
  </r>
  <r>
    <x v="10"/>
    <x v="65"/>
    <n v="14.350458784000001"/>
  </r>
  <r>
    <x v="10"/>
    <x v="66"/>
    <n v="-16.975503931999999"/>
  </r>
  <r>
    <x v="10"/>
    <x v="67"/>
    <n v="-22.750338828"/>
  </r>
  <r>
    <x v="10"/>
    <x v="68"/>
    <n v="-16.698594109999998"/>
  </r>
  <r>
    <x v="10"/>
    <x v="69"/>
    <n v="-20.037684361"/>
  </r>
  <r>
    <x v="10"/>
    <x v="70"/>
    <n v="-7.987661042"/>
  </r>
  <r>
    <x v="10"/>
    <x v="71"/>
    <n v="11.587580073"/>
  </r>
  <r>
    <x v="10"/>
    <x v="72"/>
    <n v="7.397879638"/>
  </r>
  <r>
    <x v="10"/>
    <x v="73"/>
    <n v="18.160396521999999"/>
  </r>
  <r>
    <x v="10"/>
    <x v="74"/>
    <n v="-13.51791946"/>
  </r>
  <r>
    <x v="10"/>
    <x v="75"/>
    <n v="-18.278547662000001"/>
  </r>
  <r>
    <x v="10"/>
    <x v="76"/>
    <n v="-18.535723669999999"/>
  </r>
  <r>
    <x v="10"/>
    <x v="77"/>
    <n v="-21.950213175999998"/>
  </r>
  <r>
    <x v="10"/>
    <x v="78"/>
    <n v="5.3207658779999996"/>
  </r>
  <r>
    <x v="10"/>
    <x v="79"/>
    <n v="5.1155852350000002"/>
  </r>
  <r>
    <x v="10"/>
    <x v="80"/>
    <n v="5.2420549369999998"/>
  </r>
  <r>
    <x v="10"/>
    <x v="81"/>
    <n v="5.1248163"/>
  </r>
  <r>
    <x v="10"/>
    <x v="82"/>
    <n v="3.7384529500000001"/>
  </r>
  <r>
    <x v="10"/>
    <x v="83"/>
    <n v="3.1072644770000002"/>
  </r>
  <r>
    <x v="10"/>
    <x v="84"/>
    <n v="2.9067307790000001"/>
  </r>
  <r>
    <x v="10"/>
    <x v="85"/>
    <n v="3.0870234710000002"/>
  </r>
  <r>
    <x v="10"/>
    <x v="86"/>
    <n v="3.255878665"/>
  </r>
  <r>
    <x v="10"/>
    <x v="87"/>
    <n v="3.0961882529999998"/>
  </r>
  <r>
    <x v="10"/>
    <x v="88"/>
    <n v="3.1948445080000001"/>
  </r>
  <r>
    <x v="10"/>
    <x v="89"/>
    <n v="2.6287264229999998"/>
  </r>
  <r>
    <x v="10"/>
    <x v="90"/>
    <n v="2.6276782070000002"/>
  </r>
  <r>
    <x v="10"/>
    <x v="91"/>
    <n v="2.4959959989999998"/>
  </r>
  <r>
    <x v="10"/>
    <x v="92"/>
    <n v="2.3917087399999999"/>
  </r>
  <r>
    <x v="10"/>
    <x v="93"/>
    <n v="1.9672561369999999"/>
  </r>
  <r>
    <x v="10"/>
    <x v="94"/>
    <n v="0.99789902699999999"/>
  </r>
  <r>
    <x v="10"/>
    <x v="95"/>
    <n v="0.97668967200000001"/>
  </r>
  <r>
    <x v="10"/>
    <x v="96"/>
    <n v="0.96029042200000003"/>
  </r>
  <r>
    <x v="10"/>
    <x v="97"/>
    <n v="0.98407380700000002"/>
  </r>
  <r>
    <x v="10"/>
    <x v="98"/>
    <n v="1.3910557720000001"/>
  </r>
  <r>
    <x v="10"/>
    <x v="99"/>
    <n v="1.444415655"/>
  </r>
  <r>
    <x v="10"/>
    <x v="100"/>
    <n v="1.889460157"/>
  </r>
  <r>
    <x v="10"/>
    <x v="101"/>
    <n v="2.2438772889999998"/>
  </r>
  <r>
    <x v="10"/>
    <x v="102"/>
    <n v="2.9875622480000001"/>
  </r>
  <r>
    <x v="10"/>
    <x v="103"/>
    <n v="3.5596235699999998"/>
  </r>
  <r>
    <x v="10"/>
    <x v="104"/>
    <n v="3.7845338759999998"/>
  </r>
  <r>
    <x v="10"/>
    <x v="105"/>
    <n v="3.987960873"/>
  </r>
  <r>
    <x v="10"/>
    <x v="106"/>
    <n v="3.6354584210000001"/>
  </r>
  <r>
    <x v="10"/>
    <x v="107"/>
    <n v="3.351338084"/>
  </r>
  <r>
    <x v="10"/>
    <x v="108"/>
    <n v="3.318342049"/>
  </r>
  <r>
    <x v="10"/>
    <x v="109"/>
    <n v="3.0752532559999999"/>
  </r>
  <r>
    <x v="10"/>
    <x v="110"/>
    <n v="2.486785196"/>
  </r>
  <r>
    <x v="10"/>
    <x v="111"/>
    <n v="2.9813518270000001"/>
  </r>
  <r>
    <x v="10"/>
    <x v="112"/>
    <n v="2.611764709"/>
  </r>
  <r>
    <x v="10"/>
    <x v="113"/>
    <n v="2.1762021759999999"/>
  </r>
  <r>
    <x v="10"/>
    <x v="114"/>
    <n v="2.5905518669999998"/>
  </r>
  <r>
    <x v="10"/>
    <x v="115"/>
    <n v="1.211072664"/>
  </r>
  <r>
    <x v="10"/>
    <x v="116"/>
    <n v="1.100664986"/>
  </r>
  <r>
    <x v="10"/>
    <x v="117"/>
    <n v="1.1336310549999999"/>
  </r>
  <r>
    <x v="10"/>
    <x v="118"/>
    <n v="1.405393055"/>
  </r>
  <r>
    <x v="10"/>
    <x v="119"/>
    <n v="3.3618232479999999"/>
  </r>
  <r>
    <x v="10"/>
    <x v="120"/>
    <n v="4.5021549160000003"/>
  </r>
  <r>
    <x v="10"/>
    <x v="121"/>
    <n v="6.8840580840000003"/>
  </r>
  <r>
    <x v="10"/>
    <x v="122"/>
    <n v="8.3267607980000005"/>
  </r>
  <r>
    <x v="10"/>
    <x v="123"/>
    <n v="11.543550178"/>
  </r>
  <r>
    <x v="10"/>
    <x v="124"/>
    <n v="12.42539315"/>
  </r>
  <r>
    <x v="10"/>
    <x v="125"/>
    <n v="13.866525303"/>
  </r>
  <r>
    <x v="10"/>
    <x v="126"/>
    <n v="13.584356029"/>
  </r>
  <r>
    <x v="10"/>
    <x v="127"/>
    <n v="11.149550272999999"/>
  </r>
  <r>
    <x v="10"/>
    <x v="128"/>
    <n v="8.9961391010000007"/>
  </r>
  <r>
    <x v="10"/>
    <x v="129"/>
    <n v="5.5074889760000003"/>
  </r>
  <r>
    <x v="10"/>
    <x v="130"/>
    <n v="4.5787546700000004"/>
  </r>
  <r>
    <x v="10"/>
    <x v="131"/>
    <n v="3.0413517149999998"/>
  </r>
  <r>
    <x v="10"/>
    <x v="132"/>
    <n v="3.2589444740000002"/>
  </r>
  <r>
    <x v="10"/>
    <x v="0"/>
    <n v="3.49175558"/>
  </r>
  <r>
    <x v="11"/>
    <x v="134"/>
    <n v="216.7"/>
  </r>
  <r>
    <x v="11"/>
    <x v="135"/>
    <n v="227.63"/>
  </r>
  <r>
    <x v="11"/>
    <x v="136"/>
    <n v="229.86"/>
  </r>
  <r>
    <x v="11"/>
    <x v="22"/>
    <n v="241.65"/>
  </r>
  <r>
    <x v="11"/>
    <x v="23"/>
    <n v="225.87"/>
  </r>
  <r>
    <x v="11"/>
    <x v="24"/>
    <n v="228.51"/>
  </r>
  <r>
    <x v="11"/>
    <x v="25"/>
    <n v="235.28"/>
  </r>
  <r>
    <x v="11"/>
    <x v="26"/>
    <n v="239.54"/>
  </r>
  <r>
    <x v="11"/>
    <x v="27"/>
    <n v="259.23"/>
  </r>
  <r>
    <x v="11"/>
    <x v="28"/>
    <n v="274.01"/>
  </r>
  <r>
    <x v="11"/>
    <x v="29"/>
    <n v="294.23"/>
  </r>
  <r>
    <x v="11"/>
    <x v="30"/>
    <n v="311.05"/>
  </r>
  <r>
    <x v="11"/>
    <x v="31"/>
    <n v="311.37"/>
  </r>
  <r>
    <x v="11"/>
    <x v="32"/>
    <n v="304.27"/>
  </r>
  <r>
    <x v="11"/>
    <x v="33"/>
    <n v="296.32"/>
  </r>
  <r>
    <x v="11"/>
    <x v="34"/>
    <n v="287.61"/>
  </r>
  <r>
    <x v="11"/>
    <x v="35"/>
    <n v="304.10000000000002"/>
  </r>
  <r>
    <x v="11"/>
    <x v="36"/>
    <n v="314.93"/>
  </r>
  <r>
    <x v="11"/>
    <x v="37"/>
    <n v="319.33"/>
  </r>
  <r>
    <x v="11"/>
    <x v="38"/>
    <n v="387.17"/>
  </r>
  <r>
    <x v="11"/>
    <x v="39"/>
    <n v="264.43"/>
  </r>
  <r>
    <x v="11"/>
    <x v="40"/>
    <n v="290.12"/>
  </r>
  <r>
    <x v="11"/>
    <x v="41"/>
    <n v="290.76"/>
  </r>
  <r>
    <x v="11"/>
    <x v="42"/>
    <n v="307.02"/>
  </r>
  <r>
    <x v="11"/>
    <x v="43"/>
    <n v="308.45999999999998"/>
  </r>
  <r>
    <x v="11"/>
    <x v="44"/>
    <n v="306.88"/>
  </r>
  <r>
    <x v="11"/>
    <x v="45"/>
    <n v="301.01"/>
  </r>
  <r>
    <x v="11"/>
    <x v="46"/>
    <n v="291.12"/>
  </r>
  <r>
    <x v="11"/>
    <x v="47"/>
    <n v="300.14"/>
  </r>
  <r>
    <x v="11"/>
    <x v="48"/>
    <n v="299.08999999999997"/>
  </r>
  <r>
    <x v="11"/>
    <x v="49"/>
    <n v="299.06"/>
  </r>
  <r>
    <x v="11"/>
    <x v="50"/>
    <n v="292.33999999999997"/>
  </r>
  <r>
    <x v="11"/>
    <x v="51"/>
    <n v="294.86"/>
  </r>
  <r>
    <x v="11"/>
    <x v="52"/>
    <n v="294.36"/>
  </r>
  <r>
    <x v="11"/>
    <x v="53"/>
    <n v="295.10000000000002"/>
  </r>
  <r>
    <x v="11"/>
    <x v="54"/>
    <n v="285.83"/>
  </r>
  <r>
    <x v="11"/>
    <x v="55"/>
    <n v="154.55000000000001"/>
  </r>
  <r>
    <x v="11"/>
    <x v="56"/>
    <n v="248.93"/>
  </r>
  <r>
    <x v="11"/>
    <x v="57"/>
    <n v="348.49"/>
  </r>
  <r>
    <x v="11"/>
    <x v="58"/>
    <n v="438.97"/>
  </r>
  <r>
    <x v="11"/>
    <x v="59"/>
    <n v="441.61"/>
  </r>
  <r>
    <x v="11"/>
    <x v="60"/>
    <n v="333.16"/>
  </r>
  <r>
    <x v="11"/>
    <x v="61"/>
    <n v="269.19"/>
  </r>
  <r>
    <x v="11"/>
    <x v="62"/>
    <n v="331.89"/>
  </r>
  <r>
    <x v="11"/>
    <x v="63"/>
    <n v="317.27"/>
  </r>
  <r>
    <x v="11"/>
    <x v="64"/>
    <n v="307.99"/>
  </r>
  <r>
    <x v="11"/>
    <x v="65"/>
    <n v="307.82"/>
  </r>
  <r>
    <x v="11"/>
    <x v="66"/>
    <n v="275.55"/>
  </r>
  <r>
    <x v="11"/>
    <x v="67"/>
    <n v="245.09"/>
  </r>
  <r>
    <x v="11"/>
    <x v="68"/>
    <n v="256.56"/>
  </r>
  <r>
    <x v="11"/>
    <x v="69"/>
    <n v="246.14"/>
  </r>
  <r>
    <x v="11"/>
    <x v="70"/>
    <n v="253.54"/>
  </r>
  <r>
    <x v="11"/>
    <x v="71"/>
    <n v="273.49"/>
  </r>
  <r>
    <x v="11"/>
    <x v="72"/>
    <n v="275.54000000000002"/>
  </r>
  <r>
    <x v="11"/>
    <x v="73"/>
    <n v="290.83999999999997"/>
  </r>
  <r>
    <x v="11"/>
    <x v="74"/>
    <n v="219.26666700000001"/>
  </r>
  <r>
    <x v="11"/>
    <x v="75"/>
    <n v="223.5"/>
  </r>
  <r>
    <x v="11"/>
    <x v="76"/>
    <n v="224.466667"/>
  </r>
  <r>
    <x v="11"/>
    <x v="77"/>
    <n v="227"/>
  </r>
  <r>
    <x v="11"/>
    <x v="78"/>
    <n v="230.933333"/>
  </r>
  <r>
    <x v="11"/>
    <x v="79"/>
    <n v="234.933333"/>
  </r>
  <r>
    <x v="11"/>
    <x v="80"/>
    <n v="236.23333299999999"/>
  </r>
  <r>
    <x v="11"/>
    <x v="81"/>
    <n v="238.63333299999999"/>
  </r>
  <r>
    <x v="11"/>
    <x v="82"/>
    <n v="239.566667"/>
  </r>
  <r>
    <x v="11"/>
    <x v="83"/>
    <n v="242.23333299999999"/>
  </r>
  <r>
    <x v="11"/>
    <x v="84"/>
    <n v="243.1"/>
  </r>
  <r>
    <x v="11"/>
    <x v="85"/>
    <n v="246"/>
  </r>
  <r>
    <x v="11"/>
    <x v="86"/>
    <n v="247.36666700000001"/>
  </r>
  <r>
    <x v="11"/>
    <x v="87"/>
    <n v="249.73333299999999"/>
  </r>
  <r>
    <x v="11"/>
    <x v="88"/>
    <n v="250.86666700000001"/>
  </r>
  <r>
    <x v="11"/>
    <x v="89"/>
    <n v="252.466667"/>
  </r>
  <r>
    <x v="11"/>
    <x v="90"/>
    <n v="253.86666700000001"/>
  </r>
  <r>
    <x v="11"/>
    <x v="91"/>
    <n v="255.966667"/>
  </r>
  <r>
    <x v="11"/>
    <x v="92"/>
    <n v="256.86666700000001"/>
  </r>
  <r>
    <x v="11"/>
    <x v="93"/>
    <n v="257.433333"/>
  </r>
  <r>
    <x v="11"/>
    <x v="94"/>
    <n v="256.39999999999998"/>
  </r>
  <r>
    <x v="11"/>
    <x v="95"/>
    <n v="258.46666699999997"/>
  </r>
  <r>
    <x v="11"/>
    <x v="96"/>
    <n v="259.33333299999998"/>
  </r>
  <r>
    <x v="11"/>
    <x v="97"/>
    <n v="259.96666699999997"/>
  </r>
  <r>
    <x v="11"/>
    <x v="98"/>
    <n v="259.96666699999997"/>
  </r>
  <r>
    <x v="11"/>
    <x v="99"/>
    <n v="262.2"/>
  </r>
  <r>
    <x v="11"/>
    <x v="100"/>
    <n v="264.23333300000002"/>
  </r>
  <r>
    <x v="11"/>
    <x v="101"/>
    <n v="265.8"/>
  </r>
  <r>
    <x v="11"/>
    <x v="102"/>
    <n v="267.73333300000002"/>
  </r>
  <r>
    <x v="11"/>
    <x v="103"/>
    <n v="271.53333300000003"/>
  </r>
  <r>
    <x v="11"/>
    <x v="104"/>
    <n v="274.23333300000002"/>
  </r>
  <r>
    <x v="11"/>
    <x v="105"/>
    <n v="276.39999999999998"/>
  </r>
  <r>
    <x v="11"/>
    <x v="106"/>
    <n v="277.46666699999997"/>
  </r>
  <r>
    <x v="11"/>
    <x v="107"/>
    <n v="280.63333299999999"/>
  </r>
  <r>
    <x v="11"/>
    <x v="108"/>
    <n v="283.33333299999998"/>
  </r>
  <r>
    <x v="11"/>
    <x v="109"/>
    <n v="284.89999999999998"/>
  </r>
  <r>
    <x v="11"/>
    <x v="110"/>
    <n v="284.36666700000001"/>
  </r>
  <r>
    <x v="11"/>
    <x v="111"/>
    <n v="289"/>
  </r>
  <r>
    <x v="11"/>
    <x v="112"/>
    <n v="290.73333300000002"/>
  </r>
  <r>
    <x v="11"/>
    <x v="113"/>
    <n v="291.10000000000002"/>
  </r>
  <r>
    <x v="11"/>
    <x v="114"/>
    <n v="291.73333300000002"/>
  </r>
  <r>
    <x v="11"/>
    <x v="115"/>
    <n v="292.5"/>
  </r>
  <r>
    <x v="11"/>
    <x v="116"/>
    <n v="293.933333"/>
  </r>
  <r>
    <x v="11"/>
    <x v="117"/>
    <n v="294.39999999999998"/>
  </r>
  <r>
    <x v="11"/>
    <x v="118"/>
    <n v="295.83333299999998"/>
  </r>
  <r>
    <x v="11"/>
    <x v="119"/>
    <n v="302.33333299999998"/>
  </r>
  <r>
    <x v="11"/>
    <x v="120"/>
    <n v="307.16666700000002"/>
  </r>
  <r>
    <x v="11"/>
    <x v="121"/>
    <n v="314.66666700000002"/>
  </r>
  <r>
    <x v="11"/>
    <x v="122"/>
    <n v="320.46666699999997"/>
  </r>
  <r>
    <x v="11"/>
    <x v="123"/>
    <n v="337.23333300000002"/>
  </r>
  <r>
    <x v="11"/>
    <x v="124"/>
    <n v="345.33333299999998"/>
  </r>
  <r>
    <x v="11"/>
    <x v="125"/>
    <n v="358.3"/>
  </r>
  <r>
    <x v="11"/>
    <x v="126"/>
    <n v="364"/>
  </r>
  <r>
    <x v="11"/>
    <x v="127"/>
    <n v="374.83333299999998"/>
  </r>
  <r>
    <x v="11"/>
    <x v="128"/>
    <n v="376.4"/>
  </r>
  <r>
    <x v="11"/>
    <x v="129"/>
    <n v="378.03333300000003"/>
  </r>
  <r>
    <x v="11"/>
    <x v="130"/>
    <n v="380.66666700000002"/>
  </r>
  <r>
    <x v="11"/>
    <x v="131"/>
    <n v="386.23333300000002"/>
  </r>
  <r>
    <x v="11"/>
    <x v="132"/>
    <n v="388.66666700000002"/>
  </r>
  <r>
    <x v="11"/>
    <x v="0"/>
    <n v="391.23333300000002"/>
  </r>
  <r>
    <x v="12"/>
    <x v="0"/>
    <n v="2.921268258"/>
  </r>
  <r>
    <x v="12"/>
    <x v="1"/>
    <n v="2.9829451549999999"/>
  </r>
  <r>
    <x v="12"/>
    <x v="2"/>
    <n v="3.765218715"/>
  </r>
  <r>
    <x v="12"/>
    <x v="3"/>
    <n v="4.2317483349999998"/>
  </r>
  <r>
    <x v="12"/>
    <x v="4"/>
    <n v="3.844524609"/>
  </r>
  <r>
    <x v="12"/>
    <x v="5"/>
    <n v="3.3351217019999999"/>
  </r>
  <r>
    <x v="12"/>
    <x v="6"/>
    <n v="2.7763965530000001"/>
  </r>
  <r>
    <x v="12"/>
    <x v="7"/>
    <n v="2.565283413"/>
  </r>
  <r>
    <x v="12"/>
    <x v="8"/>
    <n v="2.6589640540000001"/>
  </r>
  <r>
    <x v="12"/>
    <x v="9"/>
    <n v="2.7363765930000001"/>
  </r>
  <r>
    <x v="12"/>
    <x v="10"/>
    <n v="2.7499675039999998"/>
  </r>
  <r>
    <x v="12"/>
    <x v="11"/>
    <n v="2.7671967209999999"/>
  </r>
  <r>
    <x v="12"/>
    <x v="12"/>
    <n v="2.7655999549999999"/>
  </r>
  <r>
    <x v="12"/>
    <x v="13"/>
    <n v="2.7652007240000001"/>
  </r>
  <r>
    <x v="12"/>
    <x v="14"/>
    <n v="2.7624298029999999"/>
  </r>
  <r>
    <x v="12"/>
    <x v="15"/>
    <n v="2.7589968790000001"/>
  </r>
  <r>
    <x v="12"/>
    <x v="16"/>
    <n v="2.7567236359999998"/>
  </r>
  <r>
    <x v="12"/>
    <x v="17"/>
    <n v="2.755375892"/>
  </r>
  <r>
    <x v="12"/>
    <x v="18"/>
    <n v="2.756173215"/>
  </r>
  <r>
    <x v="12"/>
    <x v="19"/>
    <n v="2.7571039289999999"/>
  </r>
  <r>
    <x v="12"/>
    <x v="20"/>
    <n v="2.755942653"/>
  </r>
  <r>
    <x v="12"/>
    <x v="21"/>
    <n v="2.6841176080000002"/>
  </r>
  <r>
    <x v="13"/>
    <x v="0"/>
    <n v="385.2"/>
  </r>
  <r>
    <x v="13"/>
    <x v="1"/>
    <n v="387.25020143"/>
  </r>
  <r>
    <x v="13"/>
    <x v="2"/>
    <n v="395.38007170899999"/>
  </r>
  <r>
    <x v="13"/>
    <x v="3"/>
    <n v="399.24234003999999"/>
  </r>
  <r>
    <x v="13"/>
    <x v="4"/>
    <n v="400.00910879499997"/>
  </r>
  <r>
    <x v="13"/>
    <x v="5"/>
    <n v="400.16546693700002"/>
  </r>
  <r>
    <x v="13"/>
    <x v="6"/>
    <n v="406.35739039100002"/>
  </r>
  <r>
    <x v="13"/>
    <x v="7"/>
    <n v="409.48403756800002"/>
  </r>
  <r>
    <x v="13"/>
    <x v="8"/>
    <n v="410.645207212"/>
  </r>
  <r>
    <x v="13"/>
    <x v="9"/>
    <n v="411.115501107"/>
  </r>
  <r>
    <x v="13"/>
    <x v="10"/>
    <n v="417.53208657699997"/>
  </r>
  <r>
    <x v="13"/>
    <x v="11"/>
    <n v="420.81526642799997"/>
  </r>
  <r>
    <x v="13"/>
    <x v="12"/>
    <n v="422.00201087699998"/>
  </r>
  <r>
    <x v="13"/>
    <x v="13"/>
    <n v="422.48366991799998"/>
  </r>
  <r>
    <x v="13"/>
    <x v="14"/>
    <n v="429.06611737499998"/>
  </r>
  <r>
    <x v="13"/>
    <x v="15"/>
    <n v="432.42554649499999"/>
  </r>
  <r>
    <x v="13"/>
    <x v="16"/>
    <n v="433.63544005400001"/>
  </r>
  <r>
    <x v="13"/>
    <x v="17"/>
    <n v="434.12468310499997"/>
  </r>
  <r>
    <x v="13"/>
    <x v="18"/>
    <n v="440.89192277900003"/>
  </r>
  <r>
    <x v="13"/>
    <x v="19"/>
    <n v="444.34796822999999"/>
  </r>
  <r>
    <x v="13"/>
    <x v="20"/>
    <n v="445.58618410600002"/>
  </r>
  <r>
    <x v="13"/>
    <x v="21"/>
    <n v="445.77710016700001"/>
  </r>
  <r>
    <x v="14"/>
    <x v="22"/>
    <n v="2.8647568290000001"/>
  </r>
  <r>
    <x v="14"/>
    <x v="23"/>
    <n v="2.5590551179999999"/>
  </r>
  <r>
    <x v="14"/>
    <x v="24"/>
    <n v="2.8141361260000002"/>
  </r>
  <r>
    <x v="14"/>
    <x v="25"/>
    <n v="2.7958387519999999"/>
  </r>
  <r>
    <x v="14"/>
    <x v="26"/>
    <n v="2.5906735749999998"/>
  </r>
  <r>
    <x v="14"/>
    <x v="27"/>
    <n v="2.9430582209999998"/>
  </r>
  <r>
    <x v="14"/>
    <x v="28"/>
    <n v="2.5461489500000001"/>
  </r>
  <r>
    <x v="14"/>
    <x v="29"/>
    <n v="2.5300442759999999"/>
  </r>
  <r>
    <x v="14"/>
    <x v="30"/>
    <n v="2.525252525"/>
  </r>
  <r>
    <x v="14"/>
    <x v="31"/>
    <n v="2.2995649469999999"/>
  </r>
  <r>
    <x v="14"/>
    <x v="32"/>
    <n v="2.172563625"/>
  </r>
  <r>
    <x v="14"/>
    <x v="33"/>
    <n v="2.1591610120000002"/>
  </r>
  <r>
    <x v="14"/>
    <x v="34"/>
    <n v="2.0935960589999998"/>
  </r>
  <r>
    <x v="14"/>
    <x v="35"/>
    <n v="2.0656136090000001"/>
  </r>
  <r>
    <x v="14"/>
    <x v="36"/>
    <n v="2.12636695"/>
  </r>
  <r>
    <x v="14"/>
    <x v="37"/>
    <n v="2.1135265699999999"/>
  </r>
  <r>
    <x v="14"/>
    <x v="38"/>
    <n v="1.869722557"/>
  </r>
  <r>
    <x v="14"/>
    <x v="39"/>
    <n v="2.2619047619999999"/>
  </r>
  <r>
    <x v="14"/>
    <x v="40"/>
    <n v="2.3795359899999999"/>
  </r>
  <r>
    <x v="14"/>
    <x v="41"/>
    <n v="1.9515079829999999"/>
  </r>
  <r>
    <x v="14"/>
    <x v="42"/>
    <n v="2.368265246"/>
  </r>
  <r>
    <x v="14"/>
    <x v="43"/>
    <n v="1.862630966"/>
  </r>
  <r>
    <x v="14"/>
    <x v="44"/>
    <n v="1.9755955839999999"/>
  </r>
  <r>
    <x v="14"/>
    <x v="45"/>
    <n v="2.6102088170000002"/>
  </r>
  <r>
    <x v="14"/>
    <x v="46"/>
    <n v="2.8918449970000002"/>
  </r>
  <r>
    <x v="14"/>
    <x v="47"/>
    <n v="2.914285714"/>
  </r>
  <r>
    <x v="14"/>
    <x v="48"/>
    <n v="2.8490028490000001"/>
  </r>
  <r>
    <x v="14"/>
    <x v="49"/>
    <n v="2.6003391749999998"/>
  </r>
  <r>
    <x v="14"/>
    <x v="50"/>
    <n v="2.304665542"/>
  </r>
  <r>
    <x v="14"/>
    <x v="51"/>
    <n v="2.1654636310000002"/>
  </r>
  <r>
    <x v="14"/>
    <x v="52"/>
    <n v="2.1052631580000001"/>
  </r>
  <r>
    <x v="14"/>
    <x v="53"/>
    <n v="2.2589531680000001"/>
  </r>
  <r>
    <x v="14"/>
    <x v="54"/>
    <n v="2.1978021980000002"/>
  </r>
  <r>
    <x v="14"/>
    <x v="55"/>
    <n v="2.2282608700000002"/>
  </r>
  <r>
    <x v="14"/>
    <x v="56"/>
    <n v="2.3874118289999999"/>
  </r>
  <r>
    <x v="14"/>
    <x v="57"/>
    <n v="2.2629310340000002"/>
  </r>
  <r>
    <x v="14"/>
    <x v="58"/>
    <n v="2.2043010750000001"/>
  </r>
  <r>
    <x v="14"/>
    <x v="59"/>
    <n v="2.8176501859999998"/>
  </r>
  <r>
    <x v="14"/>
    <x v="60"/>
    <n v="3.2326444090000002"/>
  </r>
  <r>
    <x v="14"/>
    <x v="61"/>
    <n v="3.4773445729999999"/>
  </r>
  <r>
    <x v="14"/>
    <x v="62"/>
    <n v="3.7348763809999999"/>
  </r>
  <r>
    <x v="14"/>
    <x v="63"/>
    <n v="3.4126163389999999"/>
  </r>
  <r>
    <x v="14"/>
    <x v="64"/>
    <n v="2.72073922"/>
  </r>
  <r>
    <x v="14"/>
    <x v="65"/>
    <n v="3.1059063139999998"/>
  </r>
  <r>
    <x v="14"/>
    <x v="66"/>
    <n v="3.4989858009999999"/>
  </r>
  <r>
    <x v="14"/>
    <x v="67"/>
    <n v="4.3833333330000004"/>
  </r>
  <r>
    <x v="14"/>
    <x v="68"/>
    <n v="5.3473263370000002"/>
  </r>
  <r>
    <x v="14"/>
    <x v="69"/>
    <n v="3.7860082300000002"/>
  </r>
  <r>
    <x v="14"/>
    <x v="70"/>
    <n v="2.3844520660000001"/>
  </r>
  <r>
    <x v="14"/>
    <x v="71"/>
    <n v="1.4370110169999999"/>
  </r>
  <r>
    <x v="14"/>
    <x v="72"/>
    <n v="1.312460468"/>
  </r>
  <r>
    <x v="14"/>
    <x v="73"/>
    <n v="2.7914353690000002"/>
  </r>
  <r>
    <x v="14"/>
    <x v="74"/>
    <n v="4.5461796139999997"/>
  </r>
  <r>
    <x v="14"/>
    <x v="75"/>
    <n v="5.1629151579999997"/>
  </r>
  <r>
    <x v="14"/>
    <x v="76"/>
    <n v="4.6823786480000003"/>
  </r>
  <r>
    <x v="14"/>
    <x v="77"/>
    <n v="4.6597747260000002"/>
  </r>
  <r>
    <x v="14"/>
    <x v="78"/>
    <n v="5.3402502289999996"/>
  </r>
  <r>
    <x v="14"/>
    <x v="79"/>
    <n v="5.178865439"/>
  </r>
  <r>
    <x v="14"/>
    <x v="80"/>
    <n v="5.3526166689999997"/>
  </r>
  <r>
    <x v="14"/>
    <x v="81"/>
    <n v="5.2779006339999999"/>
  </r>
  <r>
    <x v="14"/>
    <x v="82"/>
    <n v="3.8238702199999999"/>
  </r>
  <r>
    <x v="14"/>
    <x v="83"/>
    <n v="3.1450120959999999"/>
  </r>
  <r>
    <x v="14"/>
    <x v="84"/>
    <n v="2.9012170959999999"/>
  </r>
  <r>
    <x v="14"/>
    <x v="85"/>
    <n v="3.0107828040000002"/>
  </r>
  <r>
    <x v="14"/>
    <x v="86"/>
    <n v="3.2366071430000001"/>
  </r>
  <r>
    <x v="14"/>
    <x v="87"/>
    <n v="3.062913907"/>
  </r>
  <r>
    <x v="14"/>
    <x v="88"/>
    <n v="3.218264338"/>
  </r>
  <r>
    <x v="14"/>
    <x v="89"/>
    <n v="2.7052746060000001"/>
  </r>
  <r>
    <x v="14"/>
    <x v="90"/>
    <n v="2.675675676"/>
  </r>
  <r>
    <x v="14"/>
    <x v="91"/>
    <n v="2.597054886"/>
  </r>
  <r>
    <x v="14"/>
    <x v="92"/>
    <n v="2.4783477679999999"/>
  </r>
  <r>
    <x v="14"/>
    <x v="93"/>
    <n v="2.0251489079999998"/>
  </r>
  <r>
    <x v="14"/>
    <x v="94"/>
    <n v="1.026585944"/>
  </r>
  <r>
    <x v="14"/>
    <x v="95"/>
    <n v="1.0046972860000001"/>
  </r>
  <r>
    <x v="14"/>
    <x v="96"/>
    <n v="1.02717462"/>
  </r>
  <r>
    <x v="14"/>
    <x v="97"/>
    <n v="1.0508562530000001"/>
  </r>
  <r>
    <x v="14"/>
    <x v="98"/>
    <n v="1.4721208960000001"/>
  </r>
  <r>
    <x v="14"/>
    <x v="99"/>
    <n v="1.5243508589999999"/>
  </r>
  <r>
    <x v="14"/>
    <x v="100"/>
    <n v="2.007722008"/>
  </r>
  <r>
    <x v="14"/>
    <x v="101"/>
    <n v="2.4778533829999998"/>
  </r>
  <r>
    <x v="14"/>
    <x v="102"/>
    <n v="3.2610091149999998"/>
  </r>
  <r>
    <x v="14"/>
    <x v="103"/>
    <n v="3.8300038170000001"/>
  </r>
  <r>
    <x v="14"/>
    <x v="104"/>
    <n v="4.0247287409999997"/>
  </r>
  <r>
    <x v="14"/>
    <x v="105"/>
    <n v="4.0967176150000002"/>
  </r>
  <r>
    <x v="14"/>
    <x v="106"/>
    <n v="3.6802188240000002"/>
  </r>
  <r>
    <x v="14"/>
    <x v="107"/>
    <n v="3.3823529410000002"/>
  </r>
  <r>
    <x v="14"/>
    <x v="108"/>
    <n v="3.2989690719999998"/>
  </r>
  <r>
    <x v="14"/>
    <x v="109"/>
    <n v="3.008785654"/>
  </r>
  <r>
    <x v="14"/>
    <x v="110"/>
    <n v="2.4463364909999998"/>
  </r>
  <r>
    <x v="14"/>
    <x v="111"/>
    <n v="2.9397818870000001"/>
  </r>
  <r>
    <x v="14"/>
    <x v="112"/>
    <n v="2.5830691560000001"/>
  </r>
  <r>
    <x v="14"/>
    <x v="113"/>
    <n v="2.2198855009999998"/>
  </r>
  <r>
    <x v="14"/>
    <x v="114"/>
    <n v="2.668851691"/>
  </r>
  <r>
    <x v="14"/>
    <x v="115"/>
    <n v="1.3818516810000001"/>
  </r>
  <r>
    <x v="14"/>
    <x v="116"/>
    <n v="1.3391324250000001"/>
  </r>
  <r>
    <x v="14"/>
    <x v="117"/>
    <n v="1.360155446"/>
  </r>
  <r>
    <x v="14"/>
    <x v="118"/>
    <n v="1.596169194"/>
  </r>
  <r>
    <x v="14"/>
    <x v="119"/>
    <n v="3.509768287"/>
  </r>
  <r>
    <x v="14"/>
    <x v="120"/>
    <n v="4.5967924099999999"/>
  </r>
  <r>
    <x v="14"/>
    <x v="121"/>
    <n v="7.0252593589999996"/>
  </r>
  <r>
    <x v="14"/>
    <x v="122"/>
    <n v="8.4838963080000003"/>
  </r>
  <r>
    <x v="14"/>
    <x v="123"/>
    <n v="11.631734884"/>
  </r>
  <r>
    <x v="14"/>
    <x v="124"/>
    <n v="12.320483748999999"/>
  </r>
  <r>
    <x v="14"/>
    <x v="125"/>
    <n v="13.423243072"/>
  </r>
  <r>
    <x v="14"/>
    <x v="126"/>
    <n v="12.703010240999999"/>
  </r>
  <r>
    <x v="14"/>
    <x v="127"/>
    <n v="10.085520495000001"/>
  </r>
  <r>
    <x v="14"/>
    <x v="128"/>
    <n v="7.7581234380000001"/>
  </r>
  <r>
    <x v="14"/>
    <x v="129"/>
    <n v="4.3009753829999999"/>
  </r>
  <r>
    <x v="14"/>
    <x v="130"/>
    <n v="3.542909592"/>
  </r>
  <r>
    <x v="14"/>
    <x v="131"/>
    <n v="2.0716135370000002"/>
  </r>
  <r>
    <x v="14"/>
    <x v="132"/>
    <n v="2.5158354890000001"/>
  </r>
  <r>
    <x v="14"/>
    <x v="0"/>
    <n v="2.9212682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CC110-C502-47F8-A414-94DFAC14B0E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R142" firstHeaderRow="1" firstDataRow="2" firstDataCol="1"/>
  <pivotFields count="3">
    <pivotField axis="axisCol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>
      <items count="138">
        <item x="133"/>
        <item x="134"/>
        <item x="135"/>
        <item x="136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dataField="1" showAll="0"/>
  </pivotFields>
  <rowFields count="1">
    <field x="1"/>
  </rowFields>
  <rowItems count="1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 t="grand">
      <x/>
    </i>
  </rowItems>
  <colFields count="1">
    <field x="0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Value" fld="2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B2376-B216-4105-A7E9-9F7A9D13D938}">
  <dimension ref="A1:C865"/>
  <sheetViews>
    <sheetView topLeftCell="A842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2.4685994849999999</v>
      </c>
    </row>
    <row r="3" spans="1:3" x14ac:dyDescent="0.35">
      <c r="A3" t="s">
        <v>3</v>
      </c>
      <c r="B3" t="s">
        <v>5</v>
      </c>
      <c r="C3">
        <v>2.7088726219999999</v>
      </c>
    </row>
    <row r="4" spans="1:3" x14ac:dyDescent="0.35">
      <c r="A4" t="s">
        <v>3</v>
      </c>
      <c r="B4" t="s">
        <v>6</v>
      </c>
      <c r="C4">
        <v>3.3030662639999999</v>
      </c>
    </row>
    <row r="5" spans="1:3" x14ac:dyDescent="0.35">
      <c r="A5" t="s">
        <v>3</v>
      </c>
      <c r="B5" t="s">
        <v>7</v>
      </c>
      <c r="C5">
        <v>3.686861645</v>
      </c>
    </row>
    <row r="6" spans="1:3" x14ac:dyDescent="0.35">
      <c r="A6" t="s">
        <v>3</v>
      </c>
      <c r="B6" t="s">
        <v>8</v>
      </c>
      <c r="C6">
        <v>3.1469548619999999</v>
      </c>
    </row>
    <row r="7" spans="1:3" x14ac:dyDescent="0.35">
      <c r="A7" t="s">
        <v>3</v>
      </c>
      <c r="B7" t="s">
        <v>9</v>
      </c>
      <c r="C7">
        <v>2.6086100590000001</v>
      </c>
    </row>
    <row r="8" spans="1:3" x14ac:dyDescent="0.35">
      <c r="A8" t="s">
        <v>3</v>
      </c>
      <c r="B8" t="s">
        <v>10</v>
      </c>
      <c r="C8">
        <v>2.037286565</v>
      </c>
    </row>
    <row r="9" spans="1:3" x14ac:dyDescent="0.35">
      <c r="A9" t="s">
        <v>3</v>
      </c>
      <c r="B9" t="s">
        <v>11</v>
      </c>
      <c r="C9">
        <v>1.807627756</v>
      </c>
    </row>
    <row r="10" spans="1:3" x14ac:dyDescent="0.35">
      <c r="A10" t="s">
        <v>3</v>
      </c>
      <c r="B10" t="s">
        <v>12</v>
      </c>
      <c r="C10">
        <v>1.897723807</v>
      </c>
    </row>
    <row r="11" spans="1:3" x14ac:dyDescent="0.35">
      <c r="A11" t="s">
        <v>3</v>
      </c>
      <c r="B11" t="s">
        <v>13</v>
      </c>
      <c r="C11">
        <v>1.9720394919999999</v>
      </c>
    </row>
    <row r="12" spans="1:3" x14ac:dyDescent="0.35">
      <c r="A12" t="s">
        <v>3</v>
      </c>
      <c r="B12" t="s">
        <v>14</v>
      </c>
      <c r="C12">
        <v>1.9839849110000001</v>
      </c>
    </row>
    <row r="13" spans="1:3" x14ac:dyDescent="0.35">
      <c r="A13" t="s">
        <v>3</v>
      </c>
      <c r="B13" t="s">
        <v>15</v>
      </c>
      <c r="C13">
        <v>2</v>
      </c>
    </row>
    <row r="14" spans="1:3" x14ac:dyDescent="0.35">
      <c r="A14" t="s">
        <v>3</v>
      </c>
      <c r="B14" t="s">
        <v>16</v>
      </c>
      <c r="C14">
        <v>2</v>
      </c>
    </row>
    <row r="15" spans="1:3" x14ac:dyDescent="0.35">
      <c r="A15" t="s">
        <v>3</v>
      </c>
      <c r="B15" t="s">
        <v>17</v>
      </c>
      <c r="C15">
        <v>2</v>
      </c>
    </row>
    <row r="16" spans="1:3" x14ac:dyDescent="0.35">
      <c r="A16" t="s">
        <v>3</v>
      </c>
      <c r="B16" t="s">
        <v>18</v>
      </c>
      <c r="C16">
        <v>2.0006912909999999</v>
      </c>
    </row>
    <row r="17" spans="1:3" x14ac:dyDescent="0.35">
      <c r="A17" t="s">
        <v>3</v>
      </c>
      <c r="B17" t="s">
        <v>19</v>
      </c>
      <c r="C17">
        <v>2.000225854</v>
      </c>
    </row>
    <row r="18" spans="1:3" x14ac:dyDescent="0.35">
      <c r="A18" t="s">
        <v>3</v>
      </c>
      <c r="B18" t="s">
        <v>20</v>
      </c>
      <c r="C18">
        <v>2.0007676779999999</v>
      </c>
    </row>
    <row r="19" spans="1:3" x14ac:dyDescent="0.35">
      <c r="A19" t="s">
        <v>3</v>
      </c>
      <c r="B19" t="s">
        <v>21</v>
      </c>
      <c r="C19">
        <v>1.999924531</v>
      </c>
    </row>
    <row r="20" spans="1:3" x14ac:dyDescent="0.35">
      <c r="A20" t="s">
        <v>3</v>
      </c>
      <c r="B20" t="s">
        <v>22</v>
      </c>
      <c r="C20">
        <v>1.999900233</v>
      </c>
    </row>
    <row r="21" spans="1:3" x14ac:dyDescent="0.35">
      <c r="A21" t="s">
        <v>3</v>
      </c>
      <c r="B21" t="s">
        <v>23</v>
      </c>
      <c r="C21">
        <v>2.000222569</v>
      </c>
    </row>
    <row r="22" spans="1:3" x14ac:dyDescent="0.35">
      <c r="A22" t="s">
        <v>3</v>
      </c>
      <c r="B22" t="s">
        <v>24</v>
      </c>
      <c r="C22">
        <v>1.999630088</v>
      </c>
    </row>
    <row r="23" spans="1:3" x14ac:dyDescent="0.35">
      <c r="A23" t="s">
        <v>3</v>
      </c>
      <c r="B23" t="s">
        <v>25</v>
      </c>
      <c r="C23">
        <v>1.9993326199999999</v>
      </c>
    </row>
    <row r="24" spans="1:3" x14ac:dyDescent="0.35">
      <c r="A24" t="s">
        <v>26</v>
      </c>
      <c r="B24" t="s">
        <v>4</v>
      </c>
      <c r="C24">
        <v>135.235666667</v>
      </c>
    </row>
    <row r="25" spans="1:3" x14ac:dyDescent="0.35">
      <c r="A25" t="s">
        <v>26</v>
      </c>
      <c r="B25" t="s">
        <v>5</v>
      </c>
      <c r="C25">
        <v>135.83796184900001</v>
      </c>
    </row>
    <row r="26" spans="1:3" x14ac:dyDescent="0.35">
      <c r="A26" t="s">
        <v>26</v>
      </c>
      <c r="B26" t="s">
        <v>6</v>
      </c>
      <c r="C26">
        <v>138.24119630499999</v>
      </c>
    </row>
    <row r="27" spans="1:3" x14ac:dyDescent="0.35">
      <c r="A27" t="s">
        <v>26</v>
      </c>
      <c r="B27" t="s">
        <v>7</v>
      </c>
      <c r="C27">
        <v>139.04477271100001</v>
      </c>
    </row>
    <row r="28" spans="1:3" x14ac:dyDescent="0.35">
      <c r="A28" t="s">
        <v>26</v>
      </c>
      <c r="B28" t="s">
        <v>8</v>
      </c>
      <c r="C28">
        <v>139.49147205400001</v>
      </c>
    </row>
    <row r="29" spans="1:3" x14ac:dyDescent="0.35">
      <c r="A29" t="s">
        <v>26</v>
      </c>
      <c r="B29" t="s">
        <v>9</v>
      </c>
      <c r="C29">
        <v>139.38144458599999</v>
      </c>
    </row>
    <row r="30" spans="1:3" x14ac:dyDescent="0.35">
      <c r="A30" t="s">
        <v>26</v>
      </c>
      <c r="B30" t="s">
        <v>10</v>
      </c>
      <c r="C30">
        <v>141.057565625</v>
      </c>
    </row>
    <row r="31" spans="1:3" x14ac:dyDescent="0.35">
      <c r="A31" t="s">
        <v>26</v>
      </c>
      <c r="B31" t="s">
        <v>11</v>
      </c>
      <c r="C31">
        <v>141.55818461600001</v>
      </c>
    </row>
    <row r="32" spans="1:3" x14ac:dyDescent="0.35">
      <c r="A32" t="s">
        <v>26</v>
      </c>
      <c r="B32" t="s">
        <v>12</v>
      </c>
      <c r="C32">
        <v>142.13863492799999</v>
      </c>
    </row>
    <row r="33" spans="1:3" x14ac:dyDescent="0.35">
      <c r="A33" t="s">
        <v>26</v>
      </c>
      <c r="B33" t="s">
        <v>13</v>
      </c>
      <c r="C33">
        <v>142.13010171799999</v>
      </c>
    </row>
    <row r="34" spans="1:3" x14ac:dyDescent="0.35">
      <c r="A34" t="s">
        <v>26</v>
      </c>
      <c r="B34" t="s">
        <v>14</v>
      </c>
      <c r="C34">
        <v>143.85612644299999</v>
      </c>
    </row>
    <row r="35" spans="1:3" x14ac:dyDescent="0.35">
      <c r="A35" t="s">
        <v>26</v>
      </c>
      <c r="B35" t="s">
        <v>15</v>
      </c>
      <c r="C35">
        <v>144.389348308</v>
      </c>
    </row>
    <row r="36" spans="1:3" x14ac:dyDescent="0.35">
      <c r="A36" t="s">
        <v>26</v>
      </c>
      <c r="B36" t="s">
        <v>16</v>
      </c>
      <c r="C36">
        <v>144.98140762700001</v>
      </c>
    </row>
    <row r="37" spans="1:3" x14ac:dyDescent="0.35">
      <c r="A37" t="s">
        <v>26</v>
      </c>
      <c r="B37" t="s">
        <v>17</v>
      </c>
      <c r="C37">
        <v>144.972703752</v>
      </c>
    </row>
    <row r="38" spans="1:3" x14ac:dyDescent="0.35">
      <c r="A38" t="s">
        <v>26</v>
      </c>
      <c r="B38" t="s">
        <v>18</v>
      </c>
      <c r="C38">
        <v>146.73424343600001</v>
      </c>
    </row>
    <row r="39" spans="1:3" x14ac:dyDescent="0.35">
      <c r="A39" t="s">
        <v>26</v>
      </c>
      <c r="B39" t="s">
        <v>19</v>
      </c>
      <c r="C39">
        <v>147.277461383</v>
      </c>
    </row>
    <row r="40" spans="1:3" x14ac:dyDescent="0.35">
      <c r="A40" t="s">
        <v>26</v>
      </c>
      <c r="B40" t="s">
        <v>20</v>
      </c>
      <c r="C40">
        <v>147.88214876999999</v>
      </c>
    </row>
    <row r="41" spans="1:3" x14ac:dyDescent="0.35">
      <c r="A41" t="s">
        <v>26</v>
      </c>
      <c r="B41" t="s">
        <v>21</v>
      </c>
      <c r="C41">
        <v>147.87204841799999</v>
      </c>
    </row>
    <row r="42" spans="1:3" x14ac:dyDescent="0.35">
      <c r="A42" t="s">
        <v>26</v>
      </c>
      <c r="B42" t="s">
        <v>22</v>
      </c>
      <c r="C42">
        <v>149.668781913</v>
      </c>
    </row>
    <row r="43" spans="1:3" x14ac:dyDescent="0.35">
      <c r="A43" t="s">
        <v>26</v>
      </c>
      <c r="B43" t="s">
        <v>23</v>
      </c>
      <c r="C43">
        <v>150.22333840499999</v>
      </c>
    </row>
    <row r="44" spans="1:3" x14ac:dyDescent="0.35">
      <c r="A44" t="s">
        <v>26</v>
      </c>
      <c r="B44" t="s">
        <v>24</v>
      </c>
      <c r="C44">
        <v>150.83924471099999</v>
      </c>
    </row>
    <row r="45" spans="1:3" x14ac:dyDescent="0.35">
      <c r="A45" t="s">
        <v>26</v>
      </c>
      <c r="B45" t="s">
        <v>25</v>
      </c>
      <c r="C45">
        <v>150.828502517</v>
      </c>
    </row>
    <row r="46" spans="1:3" x14ac:dyDescent="0.35">
      <c r="A46" t="s">
        <v>27</v>
      </c>
      <c r="B46" t="s">
        <v>28</v>
      </c>
      <c r="C46">
        <v>1.908957416</v>
      </c>
    </row>
    <row r="47" spans="1:3" x14ac:dyDescent="0.35">
      <c r="A47" t="s">
        <v>27</v>
      </c>
      <c r="B47" t="s">
        <v>29</v>
      </c>
      <c r="C47">
        <v>1.5965166909999999</v>
      </c>
    </row>
    <row r="48" spans="1:3" x14ac:dyDescent="0.35">
      <c r="A48" t="s">
        <v>27</v>
      </c>
      <c r="B48" t="s">
        <v>30</v>
      </c>
      <c r="C48">
        <v>2.0319303340000001</v>
      </c>
    </row>
    <row r="49" spans="1:3" x14ac:dyDescent="0.35">
      <c r="A49" t="s">
        <v>27</v>
      </c>
      <c r="B49" t="s">
        <v>31</v>
      </c>
      <c r="C49">
        <v>1.729106628</v>
      </c>
    </row>
    <row r="50" spans="1:3" x14ac:dyDescent="0.35">
      <c r="A50" t="s">
        <v>27</v>
      </c>
      <c r="B50" t="s">
        <v>32</v>
      </c>
      <c r="C50">
        <v>1.585014409</v>
      </c>
    </row>
    <row r="51" spans="1:3" x14ac:dyDescent="0.35">
      <c r="A51" t="s">
        <v>27</v>
      </c>
      <c r="B51" t="s">
        <v>33</v>
      </c>
      <c r="C51">
        <v>1.8571428569999999</v>
      </c>
    </row>
    <row r="52" spans="1:3" x14ac:dyDescent="0.35">
      <c r="A52" t="s">
        <v>27</v>
      </c>
      <c r="B52" t="s">
        <v>34</v>
      </c>
      <c r="C52">
        <v>1.280227596</v>
      </c>
    </row>
    <row r="53" spans="1:3" x14ac:dyDescent="0.35">
      <c r="A53" t="s">
        <v>27</v>
      </c>
      <c r="B53" t="s">
        <v>35</v>
      </c>
      <c r="C53">
        <v>1.416430595</v>
      </c>
    </row>
    <row r="54" spans="1:3" x14ac:dyDescent="0.35">
      <c r="A54" t="s">
        <v>27</v>
      </c>
      <c r="B54" t="s">
        <v>36</v>
      </c>
      <c r="C54">
        <v>1.5602836879999999</v>
      </c>
    </row>
    <row r="55" spans="1:3" x14ac:dyDescent="0.35">
      <c r="A55" t="s">
        <v>27</v>
      </c>
      <c r="B55" t="s">
        <v>37</v>
      </c>
      <c r="C55">
        <v>1.402524544</v>
      </c>
    </row>
    <row r="56" spans="1:3" x14ac:dyDescent="0.35">
      <c r="A56" t="s">
        <v>27</v>
      </c>
      <c r="B56" t="s">
        <v>38</v>
      </c>
      <c r="C56">
        <v>1.2640449439999999</v>
      </c>
    </row>
    <row r="57" spans="1:3" x14ac:dyDescent="0.35">
      <c r="A57" t="s">
        <v>27</v>
      </c>
      <c r="B57" t="s">
        <v>39</v>
      </c>
      <c r="C57">
        <v>1.2569832400000001</v>
      </c>
    </row>
    <row r="58" spans="1:3" x14ac:dyDescent="0.35">
      <c r="A58" t="s">
        <v>27</v>
      </c>
      <c r="B58" t="s">
        <v>40</v>
      </c>
      <c r="C58">
        <v>0.69832402199999999</v>
      </c>
    </row>
    <row r="59" spans="1:3" x14ac:dyDescent="0.35">
      <c r="A59" t="s">
        <v>27</v>
      </c>
      <c r="B59" t="s">
        <v>41</v>
      </c>
      <c r="C59">
        <v>0.553250346</v>
      </c>
    </row>
    <row r="60" spans="1:3" x14ac:dyDescent="0.35">
      <c r="A60" t="s">
        <v>27</v>
      </c>
      <c r="B60" t="s">
        <v>42</v>
      </c>
      <c r="C60">
        <v>0.83217753100000003</v>
      </c>
    </row>
    <row r="61" spans="1:3" x14ac:dyDescent="0.35">
      <c r="A61" t="s">
        <v>27</v>
      </c>
      <c r="B61" t="s">
        <v>43</v>
      </c>
      <c r="C61">
        <v>0.96551724100000003</v>
      </c>
    </row>
    <row r="62" spans="1:3" x14ac:dyDescent="0.35">
      <c r="A62" t="s">
        <v>27</v>
      </c>
      <c r="B62" t="s">
        <v>44</v>
      </c>
      <c r="C62">
        <v>0.97087378599999996</v>
      </c>
    </row>
    <row r="63" spans="1:3" x14ac:dyDescent="0.35">
      <c r="A63" t="s">
        <v>27</v>
      </c>
      <c r="B63" t="s">
        <v>45</v>
      </c>
      <c r="C63">
        <v>1.5130674</v>
      </c>
    </row>
    <row r="64" spans="1:3" x14ac:dyDescent="0.35">
      <c r="A64" t="s">
        <v>27</v>
      </c>
      <c r="B64" t="s">
        <v>46</v>
      </c>
      <c r="C64">
        <v>1.5130674</v>
      </c>
    </row>
    <row r="65" spans="1:3" x14ac:dyDescent="0.35">
      <c r="A65" t="s">
        <v>27</v>
      </c>
      <c r="B65" t="s">
        <v>47</v>
      </c>
      <c r="C65">
        <v>0.95628415300000003</v>
      </c>
    </row>
    <row r="66" spans="1:3" x14ac:dyDescent="0.35">
      <c r="A66" t="s">
        <v>27</v>
      </c>
      <c r="B66" t="s">
        <v>48</v>
      </c>
      <c r="C66">
        <v>1.5109890109999999</v>
      </c>
    </row>
    <row r="67" spans="1:3" x14ac:dyDescent="0.35">
      <c r="A67" t="s">
        <v>27</v>
      </c>
      <c r="B67" t="s">
        <v>49</v>
      </c>
      <c r="C67">
        <v>0.94850948499999999</v>
      </c>
    </row>
    <row r="68" spans="1:3" x14ac:dyDescent="0.35">
      <c r="A68" t="s">
        <v>27</v>
      </c>
      <c r="B68" t="s">
        <v>50</v>
      </c>
      <c r="C68">
        <v>1.0840108399999999</v>
      </c>
    </row>
    <row r="69" spans="1:3" x14ac:dyDescent="0.35">
      <c r="A69" t="s">
        <v>27</v>
      </c>
      <c r="B69" t="s">
        <v>51</v>
      </c>
      <c r="C69">
        <v>1.4884979700000001</v>
      </c>
    </row>
    <row r="70" spans="1:3" x14ac:dyDescent="0.35">
      <c r="A70" t="s">
        <v>27</v>
      </c>
      <c r="B70" t="s">
        <v>52</v>
      </c>
      <c r="C70">
        <v>1.4884979700000001</v>
      </c>
    </row>
    <row r="71" spans="1:3" x14ac:dyDescent="0.35">
      <c r="A71" t="s">
        <v>27</v>
      </c>
      <c r="B71" t="s">
        <v>53</v>
      </c>
      <c r="C71">
        <v>1.342281879</v>
      </c>
    </row>
    <row r="72" spans="1:3" x14ac:dyDescent="0.35">
      <c r="A72" t="s">
        <v>27</v>
      </c>
      <c r="B72" t="s">
        <v>54</v>
      </c>
      <c r="C72">
        <v>1.3404825739999999</v>
      </c>
    </row>
    <row r="73" spans="1:3" x14ac:dyDescent="0.35">
      <c r="A73" t="s">
        <v>27</v>
      </c>
      <c r="B73" t="s">
        <v>55</v>
      </c>
      <c r="C73">
        <v>1.3333333329999999</v>
      </c>
    </row>
    <row r="74" spans="1:3" x14ac:dyDescent="0.35">
      <c r="A74" t="s">
        <v>27</v>
      </c>
      <c r="B74" t="s">
        <v>56</v>
      </c>
      <c r="C74">
        <v>1.2</v>
      </c>
    </row>
    <row r="75" spans="1:3" x14ac:dyDescent="0.35">
      <c r="A75" t="s">
        <v>27</v>
      </c>
      <c r="B75" t="s">
        <v>57</v>
      </c>
      <c r="C75">
        <v>1.324503311</v>
      </c>
    </row>
    <row r="76" spans="1:3" x14ac:dyDescent="0.35">
      <c r="A76" t="s">
        <v>27</v>
      </c>
      <c r="B76" t="s">
        <v>58</v>
      </c>
      <c r="C76">
        <v>1.3227513230000001</v>
      </c>
    </row>
    <row r="77" spans="1:3" x14ac:dyDescent="0.35">
      <c r="A77" t="s">
        <v>27</v>
      </c>
      <c r="B77" t="s">
        <v>59</v>
      </c>
      <c r="C77">
        <v>1.447368421</v>
      </c>
    </row>
    <row r="78" spans="1:3" x14ac:dyDescent="0.35">
      <c r="A78" t="s">
        <v>27</v>
      </c>
      <c r="B78" t="s">
        <v>60</v>
      </c>
      <c r="C78">
        <v>1.8445322790000001</v>
      </c>
    </row>
    <row r="79" spans="1:3" x14ac:dyDescent="0.35">
      <c r="A79" t="s">
        <v>27</v>
      </c>
      <c r="B79" t="s">
        <v>61</v>
      </c>
      <c r="C79">
        <v>1.9607843140000001</v>
      </c>
    </row>
    <row r="80" spans="1:3" x14ac:dyDescent="0.35">
      <c r="A80" t="s">
        <v>27</v>
      </c>
      <c r="B80" t="s">
        <v>62</v>
      </c>
      <c r="C80">
        <v>2.3498694520000001</v>
      </c>
    </row>
    <row r="81" spans="1:3" x14ac:dyDescent="0.35">
      <c r="A81" t="s">
        <v>27</v>
      </c>
      <c r="B81" t="s">
        <v>63</v>
      </c>
      <c r="C81">
        <v>2.2049286640000001</v>
      </c>
    </row>
    <row r="82" spans="1:3" x14ac:dyDescent="0.35">
      <c r="A82" t="s">
        <v>27</v>
      </c>
      <c r="B82" t="s">
        <v>64</v>
      </c>
      <c r="C82">
        <v>1.811125485</v>
      </c>
    </row>
    <row r="83" spans="1:3" x14ac:dyDescent="0.35">
      <c r="A83" t="s">
        <v>27</v>
      </c>
      <c r="B83" t="s">
        <v>65</v>
      </c>
      <c r="C83">
        <v>2.307692308</v>
      </c>
    </row>
    <row r="84" spans="1:3" x14ac:dyDescent="0.35">
      <c r="A84" t="s">
        <v>27</v>
      </c>
      <c r="B84" t="s">
        <v>66</v>
      </c>
      <c r="C84">
        <v>2.423469388</v>
      </c>
    </row>
    <row r="85" spans="1:3" x14ac:dyDescent="0.35">
      <c r="A85" t="s">
        <v>27</v>
      </c>
      <c r="B85" t="s">
        <v>67</v>
      </c>
      <c r="C85">
        <v>2.6649746190000001</v>
      </c>
    </row>
    <row r="86" spans="1:3" x14ac:dyDescent="0.35">
      <c r="A86" t="s">
        <v>27</v>
      </c>
      <c r="B86" t="s">
        <v>68</v>
      </c>
      <c r="C86">
        <v>2.9224904700000001</v>
      </c>
    </row>
    <row r="87" spans="1:3" x14ac:dyDescent="0.35">
      <c r="A87" t="s">
        <v>27</v>
      </c>
      <c r="B87" t="s">
        <v>69</v>
      </c>
      <c r="C87">
        <v>2.5062656639999998</v>
      </c>
    </row>
    <row r="88" spans="1:3" x14ac:dyDescent="0.35">
      <c r="A88" t="s">
        <v>27</v>
      </c>
      <c r="B88" t="s">
        <v>70</v>
      </c>
      <c r="C88">
        <v>1.7434620169999999</v>
      </c>
    </row>
    <row r="89" spans="1:3" x14ac:dyDescent="0.35">
      <c r="A89" t="s">
        <v>27</v>
      </c>
      <c r="B89" t="s">
        <v>71</v>
      </c>
      <c r="C89">
        <v>2.101359703</v>
      </c>
    </row>
    <row r="90" spans="1:3" x14ac:dyDescent="0.35">
      <c r="A90" t="s">
        <v>27</v>
      </c>
      <c r="B90" t="s">
        <v>72</v>
      </c>
      <c r="C90">
        <v>2.3757201650000002</v>
      </c>
    </row>
    <row r="91" spans="1:3" x14ac:dyDescent="0.35">
      <c r="A91" t="s">
        <v>27</v>
      </c>
      <c r="B91" t="s">
        <v>73</v>
      </c>
      <c r="C91">
        <v>3.4197229010000001</v>
      </c>
    </row>
    <row r="92" spans="1:3" x14ac:dyDescent="0.35">
      <c r="A92" t="s">
        <v>27</v>
      </c>
      <c r="B92" t="s">
        <v>74</v>
      </c>
      <c r="C92">
        <v>4.8388412890000003</v>
      </c>
    </row>
    <row r="93" spans="1:3" x14ac:dyDescent="0.35">
      <c r="A93" t="s">
        <v>27</v>
      </c>
      <c r="B93" t="s">
        <v>75</v>
      </c>
      <c r="C93">
        <v>3.8240516549999999</v>
      </c>
    </row>
    <row r="94" spans="1:3" x14ac:dyDescent="0.35">
      <c r="A94" t="s">
        <v>27</v>
      </c>
      <c r="B94" t="s">
        <v>76</v>
      </c>
      <c r="C94">
        <v>3.005551246</v>
      </c>
    </row>
    <row r="95" spans="1:3" x14ac:dyDescent="0.35">
      <c r="A95" t="s">
        <v>27</v>
      </c>
      <c r="B95" t="s">
        <v>77</v>
      </c>
      <c r="C95">
        <v>2.088718321</v>
      </c>
    </row>
    <row r="96" spans="1:3" x14ac:dyDescent="0.35">
      <c r="A96" t="s">
        <v>27</v>
      </c>
      <c r="B96" t="s">
        <v>78</v>
      </c>
      <c r="C96">
        <v>1.4897260269999999</v>
      </c>
    </row>
    <row r="97" spans="1:3" x14ac:dyDescent="0.35">
      <c r="A97" t="s">
        <v>27</v>
      </c>
      <c r="B97" t="s">
        <v>79</v>
      </c>
      <c r="C97">
        <v>2.1031887930000002</v>
      </c>
    </row>
    <row r="98" spans="1:3" x14ac:dyDescent="0.35">
      <c r="A98" t="s">
        <v>27</v>
      </c>
      <c r="B98" t="s">
        <v>80</v>
      </c>
      <c r="C98">
        <v>3.2745365849999999</v>
      </c>
    </row>
    <row r="99" spans="1:3" x14ac:dyDescent="0.35">
      <c r="A99" t="s">
        <v>27</v>
      </c>
      <c r="B99" t="s">
        <v>81</v>
      </c>
      <c r="C99">
        <v>3.4566738579999998</v>
      </c>
    </row>
    <row r="100" spans="1:3" x14ac:dyDescent="0.35">
      <c r="A100" t="s">
        <v>27</v>
      </c>
      <c r="B100" t="s">
        <v>82</v>
      </c>
      <c r="C100">
        <v>3.0852646589999999</v>
      </c>
    </row>
    <row r="101" spans="1:3" x14ac:dyDescent="0.35">
      <c r="A101" t="s">
        <v>27</v>
      </c>
      <c r="B101" t="s">
        <v>83</v>
      </c>
      <c r="C101">
        <v>3.3762614819999999</v>
      </c>
    </row>
    <row r="102" spans="1:3" x14ac:dyDescent="0.35">
      <c r="A102" t="s">
        <v>27</v>
      </c>
      <c r="B102" t="s">
        <v>84</v>
      </c>
      <c r="C102">
        <v>4.1184094680000003</v>
      </c>
    </row>
    <row r="103" spans="1:3" x14ac:dyDescent="0.35">
      <c r="A103" t="s">
        <v>27</v>
      </c>
      <c r="B103" t="s">
        <v>85</v>
      </c>
      <c r="C103">
        <v>4.3771847680000002</v>
      </c>
    </row>
    <row r="104" spans="1:3" x14ac:dyDescent="0.35">
      <c r="A104" t="s">
        <v>27</v>
      </c>
      <c r="B104" t="s">
        <v>86</v>
      </c>
      <c r="C104">
        <v>4.7058779770000001</v>
      </c>
    </row>
    <row r="105" spans="1:3" x14ac:dyDescent="0.35">
      <c r="A105" t="s">
        <v>27</v>
      </c>
      <c r="B105" t="s">
        <v>87</v>
      </c>
      <c r="C105">
        <v>4.64581891</v>
      </c>
    </row>
    <row r="106" spans="1:3" x14ac:dyDescent="0.35">
      <c r="A106" t="s">
        <v>27</v>
      </c>
      <c r="B106" t="s">
        <v>88</v>
      </c>
      <c r="C106">
        <v>3.4902373519999998</v>
      </c>
    </row>
    <row r="107" spans="1:3" x14ac:dyDescent="0.35">
      <c r="A107" t="s">
        <v>27</v>
      </c>
      <c r="B107" t="s">
        <v>89</v>
      </c>
      <c r="C107">
        <v>2.7553595299999998</v>
      </c>
    </row>
    <row r="108" spans="1:3" x14ac:dyDescent="0.35">
      <c r="A108" t="s">
        <v>27</v>
      </c>
      <c r="B108" t="s">
        <v>90</v>
      </c>
      <c r="C108">
        <v>2.412561948</v>
      </c>
    </row>
    <row r="109" spans="1:3" x14ac:dyDescent="0.35">
      <c r="A109" t="s">
        <v>27</v>
      </c>
      <c r="B109" t="s">
        <v>91</v>
      </c>
      <c r="C109">
        <v>2.6698619149999998</v>
      </c>
    </row>
    <row r="110" spans="1:3" x14ac:dyDescent="0.35">
      <c r="A110" t="s">
        <v>27</v>
      </c>
      <c r="B110" t="s">
        <v>92</v>
      </c>
      <c r="C110">
        <v>2.7763653009999998</v>
      </c>
    </row>
    <row r="111" spans="1:3" x14ac:dyDescent="0.35">
      <c r="A111" t="s">
        <v>27</v>
      </c>
      <c r="B111" t="s">
        <v>93</v>
      </c>
      <c r="C111">
        <v>2.6793882240000002</v>
      </c>
    </row>
    <row r="112" spans="1:3" x14ac:dyDescent="0.35">
      <c r="A112" t="s">
        <v>27</v>
      </c>
      <c r="B112" t="s">
        <v>94</v>
      </c>
      <c r="C112">
        <v>2.70886234</v>
      </c>
    </row>
    <row r="113" spans="1:3" x14ac:dyDescent="0.35">
      <c r="A113" t="s">
        <v>27</v>
      </c>
      <c r="B113" t="s">
        <v>95</v>
      </c>
      <c r="C113">
        <v>2.1027628969999999</v>
      </c>
    </row>
    <row r="114" spans="1:3" x14ac:dyDescent="0.35">
      <c r="A114" t="s">
        <v>27</v>
      </c>
      <c r="B114" t="s">
        <v>96</v>
      </c>
      <c r="C114">
        <v>1.7391512039999999</v>
      </c>
    </row>
    <row r="115" spans="1:3" x14ac:dyDescent="0.35">
      <c r="A115" t="s">
        <v>27</v>
      </c>
      <c r="B115" t="s">
        <v>97</v>
      </c>
      <c r="C115">
        <v>1.720563426</v>
      </c>
    </row>
    <row r="116" spans="1:3" x14ac:dyDescent="0.35">
      <c r="A116" t="s">
        <v>27</v>
      </c>
      <c r="B116" t="s">
        <v>98</v>
      </c>
      <c r="C116">
        <v>1.456000811</v>
      </c>
    </row>
    <row r="117" spans="1:3" x14ac:dyDescent="0.35">
      <c r="A117" t="s">
        <v>27</v>
      </c>
      <c r="B117" t="s">
        <v>99</v>
      </c>
      <c r="C117">
        <v>0.93523199499999998</v>
      </c>
    </row>
    <row r="118" spans="1:3" x14ac:dyDescent="0.35">
      <c r="A118" t="s">
        <v>27</v>
      </c>
      <c r="B118" t="s">
        <v>100</v>
      </c>
      <c r="C118">
        <v>0.100613406</v>
      </c>
    </row>
    <row r="119" spans="1:3" x14ac:dyDescent="0.35">
      <c r="A119" t="s">
        <v>27</v>
      </c>
      <c r="B119" t="s">
        <v>101</v>
      </c>
      <c r="C119">
        <v>-1.6651513999999999E-2</v>
      </c>
    </row>
    <row r="120" spans="1:3" x14ac:dyDescent="0.35">
      <c r="A120" t="s">
        <v>27</v>
      </c>
      <c r="B120" t="s">
        <v>102</v>
      </c>
      <c r="C120">
        <v>9.653923E-3</v>
      </c>
    </row>
    <row r="121" spans="1:3" x14ac:dyDescent="0.35">
      <c r="A121" t="s">
        <v>27</v>
      </c>
      <c r="B121" t="s">
        <v>103</v>
      </c>
      <c r="C121">
        <v>6.7181056000000003E-2</v>
      </c>
    </row>
    <row r="122" spans="1:3" x14ac:dyDescent="0.35">
      <c r="A122" t="s">
        <v>27</v>
      </c>
      <c r="B122" t="s">
        <v>104</v>
      </c>
      <c r="C122">
        <v>0.34676735800000003</v>
      </c>
    </row>
    <row r="123" spans="1:3" x14ac:dyDescent="0.35">
      <c r="A123" t="s">
        <v>27</v>
      </c>
      <c r="B123" t="s">
        <v>105</v>
      </c>
      <c r="C123">
        <v>0.35140545499999998</v>
      </c>
    </row>
    <row r="124" spans="1:3" x14ac:dyDescent="0.35">
      <c r="A124" t="s">
        <v>27</v>
      </c>
      <c r="B124" t="s">
        <v>106</v>
      </c>
      <c r="C124">
        <v>0.72630440200000002</v>
      </c>
    </row>
    <row r="125" spans="1:3" x14ac:dyDescent="0.35">
      <c r="A125" t="s">
        <v>27</v>
      </c>
      <c r="B125" t="s">
        <v>107</v>
      </c>
      <c r="C125">
        <v>1.2111060149999999</v>
      </c>
    </row>
    <row r="126" spans="1:3" x14ac:dyDescent="0.35">
      <c r="A126" t="s">
        <v>27</v>
      </c>
      <c r="B126" t="s">
        <v>108</v>
      </c>
      <c r="C126">
        <v>2.1435296789999998</v>
      </c>
    </row>
    <row r="127" spans="1:3" x14ac:dyDescent="0.35">
      <c r="A127" t="s">
        <v>27</v>
      </c>
      <c r="B127" t="s">
        <v>109</v>
      </c>
      <c r="C127">
        <v>2.742981565</v>
      </c>
    </row>
    <row r="128" spans="1:3" x14ac:dyDescent="0.35">
      <c r="A128" t="s">
        <v>27</v>
      </c>
      <c r="B128" t="s">
        <v>110</v>
      </c>
      <c r="C128">
        <v>2.8168548649999998</v>
      </c>
    </row>
    <row r="129" spans="1:3" x14ac:dyDescent="0.35">
      <c r="A129" t="s">
        <v>27</v>
      </c>
      <c r="B129" t="s">
        <v>111</v>
      </c>
      <c r="C129">
        <v>3.0217452699999998</v>
      </c>
    </row>
    <row r="130" spans="1:3" x14ac:dyDescent="0.35">
      <c r="A130" t="s">
        <v>27</v>
      </c>
      <c r="B130" t="s">
        <v>112</v>
      </c>
      <c r="C130">
        <v>2.7176506740000002</v>
      </c>
    </row>
    <row r="131" spans="1:3" x14ac:dyDescent="0.35">
      <c r="A131" t="s">
        <v>27</v>
      </c>
      <c r="B131" t="s">
        <v>113</v>
      </c>
      <c r="C131">
        <v>2.4164733699999998</v>
      </c>
    </row>
    <row r="132" spans="1:3" x14ac:dyDescent="0.35">
      <c r="A132" t="s">
        <v>27</v>
      </c>
      <c r="B132" t="s">
        <v>114</v>
      </c>
      <c r="C132">
        <v>2.5153391979999999</v>
      </c>
    </row>
    <row r="133" spans="1:3" x14ac:dyDescent="0.35">
      <c r="A133" t="s">
        <v>27</v>
      </c>
      <c r="B133" t="s">
        <v>115</v>
      </c>
      <c r="C133">
        <v>2.2682068540000002</v>
      </c>
    </row>
    <row r="134" spans="1:3" x14ac:dyDescent="0.35">
      <c r="A134" t="s">
        <v>27</v>
      </c>
      <c r="B134" t="s">
        <v>116</v>
      </c>
      <c r="C134">
        <v>1.875</v>
      </c>
    </row>
    <row r="135" spans="1:3" x14ac:dyDescent="0.35">
      <c r="A135" t="s">
        <v>27</v>
      </c>
      <c r="B135" t="s">
        <v>117</v>
      </c>
      <c r="C135">
        <v>2.0478074080000002</v>
      </c>
    </row>
    <row r="136" spans="1:3" x14ac:dyDescent="0.35">
      <c r="A136" t="s">
        <v>27</v>
      </c>
      <c r="B136" t="s">
        <v>118</v>
      </c>
      <c r="C136">
        <v>1.832848942</v>
      </c>
    </row>
    <row r="137" spans="1:3" x14ac:dyDescent="0.35">
      <c r="A137" t="s">
        <v>27</v>
      </c>
      <c r="B137" t="s">
        <v>119</v>
      </c>
      <c r="C137">
        <v>1.413459501</v>
      </c>
    </row>
    <row r="138" spans="1:3" x14ac:dyDescent="0.35">
      <c r="A138" t="s">
        <v>27</v>
      </c>
      <c r="B138" t="s">
        <v>120</v>
      </c>
      <c r="C138">
        <v>1.6671248110000001</v>
      </c>
    </row>
    <row r="139" spans="1:3" x14ac:dyDescent="0.35">
      <c r="A139" t="s">
        <v>27</v>
      </c>
      <c r="B139" t="s">
        <v>121</v>
      </c>
      <c r="C139">
        <v>0.61666573899999999</v>
      </c>
    </row>
    <row r="140" spans="1:3" x14ac:dyDescent="0.35">
      <c r="A140" t="s">
        <v>27</v>
      </c>
      <c r="B140" t="s">
        <v>122</v>
      </c>
      <c r="C140">
        <v>0.59666936599999998</v>
      </c>
    </row>
    <row r="141" spans="1:3" x14ac:dyDescent="0.35">
      <c r="A141" t="s">
        <v>27</v>
      </c>
      <c r="B141" t="s">
        <v>123</v>
      </c>
      <c r="C141">
        <v>0.53353166600000002</v>
      </c>
    </row>
    <row r="142" spans="1:3" x14ac:dyDescent="0.35">
      <c r="A142" t="s">
        <v>27</v>
      </c>
      <c r="B142" t="s">
        <v>124</v>
      </c>
      <c r="C142">
        <v>0.609581865</v>
      </c>
    </row>
    <row r="143" spans="1:3" x14ac:dyDescent="0.35">
      <c r="A143" t="s">
        <v>27</v>
      </c>
      <c r="B143" t="s">
        <v>125</v>
      </c>
      <c r="C143">
        <v>2.0518633890000002</v>
      </c>
    </row>
    <row r="144" spans="1:3" x14ac:dyDescent="0.35">
      <c r="A144" t="s">
        <v>27</v>
      </c>
      <c r="B144" t="s">
        <v>126</v>
      </c>
      <c r="C144">
        <v>2.771614214</v>
      </c>
    </row>
    <row r="145" spans="1:3" x14ac:dyDescent="0.35">
      <c r="A145" t="s">
        <v>27</v>
      </c>
      <c r="B145" t="s">
        <v>127</v>
      </c>
      <c r="C145">
        <v>4.9074484509999996</v>
      </c>
    </row>
    <row r="146" spans="1:3" x14ac:dyDescent="0.35">
      <c r="A146" t="s">
        <v>27</v>
      </c>
      <c r="B146" t="s">
        <v>128</v>
      </c>
      <c r="C146">
        <v>6.2195185259999999</v>
      </c>
    </row>
    <row r="147" spans="1:3" x14ac:dyDescent="0.35">
      <c r="A147" t="s">
        <v>27</v>
      </c>
      <c r="B147" t="s">
        <v>129</v>
      </c>
      <c r="C147">
        <v>9.1692053900000001</v>
      </c>
    </row>
    <row r="148" spans="1:3" x14ac:dyDescent="0.35">
      <c r="A148" t="s">
        <v>27</v>
      </c>
      <c r="B148" t="s">
        <v>130</v>
      </c>
      <c r="C148">
        <v>10.022126462999999</v>
      </c>
    </row>
    <row r="149" spans="1:3" x14ac:dyDescent="0.35">
      <c r="A149" t="s">
        <v>27</v>
      </c>
      <c r="B149" t="s">
        <v>131</v>
      </c>
      <c r="C149">
        <v>10.749545412</v>
      </c>
    </row>
    <row r="150" spans="1:3" x14ac:dyDescent="0.35">
      <c r="A150" t="s">
        <v>27</v>
      </c>
      <c r="B150" t="s">
        <v>132</v>
      </c>
      <c r="C150">
        <v>10.174832311999999</v>
      </c>
    </row>
    <row r="151" spans="1:3" x14ac:dyDescent="0.35">
      <c r="A151" t="s">
        <v>27</v>
      </c>
      <c r="B151" t="s">
        <v>133</v>
      </c>
      <c r="C151">
        <v>8.427754814</v>
      </c>
    </row>
    <row r="152" spans="1:3" x14ac:dyDescent="0.35">
      <c r="A152" t="s">
        <v>27</v>
      </c>
      <c r="B152" t="s">
        <v>134</v>
      </c>
      <c r="C152">
        <v>6.7118508270000001</v>
      </c>
    </row>
    <row r="153" spans="1:3" x14ac:dyDescent="0.35">
      <c r="A153" t="s">
        <v>27</v>
      </c>
      <c r="B153" t="s">
        <v>135</v>
      </c>
      <c r="C153">
        <v>4.1772681470000004</v>
      </c>
    </row>
    <row r="154" spans="1:3" x14ac:dyDescent="0.35">
      <c r="A154" t="s">
        <v>27</v>
      </c>
      <c r="B154" t="s">
        <v>136</v>
      </c>
      <c r="C154">
        <v>3.5377561590000002</v>
      </c>
    </row>
    <row r="155" spans="1:3" x14ac:dyDescent="0.35">
      <c r="A155" t="s">
        <v>27</v>
      </c>
      <c r="B155" t="s">
        <v>137</v>
      </c>
      <c r="C155">
        <v>2.0988784620000001</v>
      </c>
    </row>
    <row r="156" spans="1:3" x14ac:dyDescent="0.35">
      <c r="A156" t="s">
        <v>27</v>
      </c>
      <c r="B156" t="s">
        <v>138</v>
      </c>
      <c r="C156">
        <v>2.0428765649999998</v>
      </c>
    </row>
    <row r="157" spans="1:3" x14ac:dyDescent="0.35">
      <c r="A157" t="s">
        <v>27</v>
      </c>
      <c r="B157" t="s">
        <v>4</v>
      </c>
      <c r="C157">
        <v>2.4685994849999999</v>
      </c>
    </row>
    <row r="158" spans="1:3" x14ac:dyDescent="0.35">
      <c r="A158" t="s">
        <v>139</v>
      </c>
      <c r="B158" t="s">
        <v>140</v>
      </c>
      <c r="C158">
        <v>68.099999999999994</v>
      </c>
    </row>
    <row r="159" spans="1:3" x14ac:dyDescent="0.35">
      <c r="A159" t="s">
        <v>139</v>
      </c>
      <c r="B159" t="s">
        <v>141</v>
      </c>
      <c r="C159">
        <v>68.900000000000006</v>
      </c>
    </row>
    <row r="160" spans="1:3" x14ac:dyDescent="0.35">
      <c r="A160" t="s">
        <v>139</v>
      </c>
      <c r="B160" t="s">
        <v>142</v>
      </c>
      <c r="C160">
        <v>68.900000000000006</v>
      </c>
    </row>
    <row r="161" spans="1:3" x14ac:dyDescent="0.35">
      <c r="A161" t="s">
        <v>139</v>
      </c>
      <c r="B161" t="s">
        <v>143</v>
      </c>
      <c r="C161">
        <v>69.400000000000006</v>
      </c>
    </row>
    <row r="162" spans="1:3" x14ac:dyDescent="0.35">
      <c r="A162" t="s">
        <v>139</v>
      </c>
      <c r="B162" t="s">
        <v>28</v>
      </c>
      <c r="C162">
        <v>69.400000000000006</v>
      </c>
    </row>
    <row r="163" spans="1:3" x14ac:dyDescent="0.35">
      <c r="A163" t="s">
        <v>139</v>
      </c>
      <c r="B163" t="s">
        <v>29</v>
      </c>
      <c r="C163">
        <v>70</v>
      </c>
    </row>
    <row r="164" spans="1:3" x14ac:dyDescent="0.35">
      <c r="A164" t="s">
        <v>139</v>
      </c>
      <c r="B164" t="s">
        <v>30</v>
      </c>
      <c r="C164">
        <v>70.3</v>
      </c>
    </row>
    <row r="165" spans="1:3" x14ac:dyDescent="0.35">
      <c r="A165" t="s">
        <v>139</v>
      </c>
      <c r="B165" t="s">
        <v>31</v>
      </c>
      <c r="C165">
        <v>70.599999999999994</v>
      </c>
    </row>
    <row r="166" spans="1:3" x14ac:dyDescent="0.35">
      <c r="A166" t="s">
        <v>139</v>
      </c>
      <c r="B166" t="s">
        <v>32</v>
      </c>
      <c r="C166">
        <v>70.5</v>
      </c>
    </row>
    <row r="167" spans="1:3" x14ac:dyDescent="0.35">
      <c r="A167" t="s">
        <v>139</v>
      </c>
      <c r="B167" t="s">
        <v>33</v>
      </c>
      <c r="C167">
        <v>71.3</v>
      </c>
    </row>
    <row r="168" spans="1:3" x14ac:dyDescent="0.35">
      <c r="A168" t="s">
        <v>139</v>
      </c>
      <c r="B168" t="s">
        <v>34</v>
      </c>
      <c r="C168">
        <v>71.2</v>
      </c>
    </row>
    <row r="169" spans="1:3" x14ac:dyDescent="0.35">
      <c r="A169" t="s">
        <v>139</v>
      </c>
      <c r="B169" t="s">
        <v>35</v>
      </c>
      <c r="C169">
        <v>71.599999999999994</v>
      </c>
    </row>
    <row r="170" spans="1:3" x14ac:dyDescent="0.35">
      <c r="A170" t="s">
        <v>139</v>
      </c>
      <c r="B170" t="s">
        <v>36</v>
      </c>
      <c r="C170">
        <v>71.599999999999994</v>
      </c>
    </row>
    <row r="171" spans="1:3" x14ac:dyDescent="0.35">
      <c r="A171" t="s">
        <v>139</v>
      </c>
      <c r="B171" t="s">
        <v>37</v>
      </c>
      <c r="C171">
        <v>72.3</v>
      </c>
    </row>
    <row r="172" spans="1:3" x14ac:dyDescent="0.35">
      <c r="A172" t="s">
        <v>139</v>
      </c>
      <c r="B172" t="s">
        <v>38</v>
      </c>
      <c r="C172">
        <v>72.099999999999994</v>
      </c>
    </row>
    <row r="173" spans="1:3" x14ac:dyDescent="0.35">
      <c r="A173" t="s">
        <v>139</v>
      </c>
      <c r="B173" t="s">
        <v>39</v>
      </c>
      <c r="C173">
        <v>72.5</v>
      </c>
    </row>
    <row r="174" spans="1:3" x14ac:dyDescent="0.35">
      <c r="A174" t="s">
        <v>139</v>
      </c>
      <c r="B174" t="s">
        <v>40</v>
      </c>
      <c r="C174">
        <v>72.099999999999994</v>
      </c>
    </row>
    <row r="175" spans="1:3" x14ac:dyDescent="0.35">
      <c r="A175" t="s">
        <v>139</v>
      </c>
      <c r="B175" t="s">
        <v>41</v>
      </c>
      <c r="C175">
        <v>72.7</v>
      </c>
    </row>
    <row r="176" spans="1:3" x14ac:dyDescent="0.35">
      <c r="A176" t="s">
        <v>139</v>
      </c>
      <c r="B176" t="s">
        <v>42</v>
      </c>
      <c r="C176">
        <v>72.7</v>
      </c>
    </row>
    <row r="177" spans="1:3" x14ac:dyDescent="0.35">
      <c r="A177" t="s">
        <v>139</v>
      </c>
      <c r="B177" t="s">
        <v>43</v>
      </c>
      <c r="C177">
        <v>73.2</v>
      </c>
    </row>
    <row r="178" spans="1:3" x14ac:dyDescent="0.35">
      <c r="A178" t="s">
        <v>139</v>
      </c>
      <c r="B178" t="s">
        <v>44</v>
      </c>
      <c r="C178">
        <v>72.8</v>
      </c>
    </row>
    <row r="179" spans="1:3" x14ac:dyDescent="0.35">
      <c r="A179" t="s">
        <v>139</v>
      </c>
      <c r="B179" t="s">
        <v>45</v>
      </c>
      <c r="C179">
        <v>73.8</v>
      </c>
    </row>
    <row r="180" spans="1:3" x14ac:dyDescent="0.35">
      <c r="A180" t="s">
        <v>139</v>
      </c>
      <c r="B180" t="s">
        <v>46</v>
      </c>
      <c r="C180">
        <v>73.8</v>
      </c>
    </row>
    <row r="181" spans="1:3" x14ac:dyDescent="0.35">
      <c r="A181" t="s">
        <v>139</v>
      </c>
      <c r="B181" t="s">
        <v>47</v>
      </c>
      <c r="C181">
        <v>73.900000000000006</v>
      </c>
    </row>
    <row r="182" spans="1:3" x14ac:dyDescent="0.35">
      <c r="A182" t="s">
        <v>139</v>
      </c>
      <c r="B182" t="s">
        <v>48</v>
      </c>
      <c r="C182">
        <v>73.900000000000006</v>
      </c>
    </row>
    <row r="183" spans="1:3" x14ac:dyDescent="0.35">
      <c r="A183" t="s">
        <v>139</v>
      </c>
      <c r="B183" t="s">
        <v>49</v>
      </c>
      <c r="C183">
        <v>74.5</v>
      </c>
    </row>
    <row r="184" spans="1:3" x14ac:dyDescent="0.35">
      <c r="A184" t="s">
        <v>139</v>
      </c>
      <c r="B184" t="s">
        <v>50</v>
      </c>
      <c r="C184">
        <v>74.599999999999994</v>
      </c>
    </row>
    <row r="185" spans="1:3" x14ac:dyDescent="0.35">
      <c r="A185" t="s">
        <v>139</v>
      </c>
      <c r="B185" t="s">
        <v>51</v>
      </c>
      <c r="C185">
        <v>75</v>
      </c>
    </row>
    <row r="186" spans="1:3" x14ac:dyDescent="0.35">
      <c r="A186" t="s">
        <v>139</v>
      </c>
      <c r="B186" t="s">
        <v>52</v>
      </c>
      <c r="C186">
        <v>75</v>
      </c>
    </row>
    <row r="187" spans="1:3" x14ac:dyDescent="0.35">
      <c r="A187" t="s">
        <v>139</v>
      </c>
      <c r="B187" t="s">
        <v>53</v>
      </c>
      <c r="C187">
        <v>75.5</v>
      </c>
    </row>
    <row r="188" spans="1:3" x14ac:dyDescent="0.35">
      <c r="A188" t="s">
        <v>139</v>
      </c>
      <c r="B188" t="s">
        <v>54</v>
      </c>
      <c r="C188">
        <v>75.599999999999994</v>
      </c>
    </row>
    <row r="189" spans="1:3" x14ac:dyDescent="0.35">
      <c r="A189" t="s">
        <v>139</v>
      </c>
      <c r="B189" t="s">
        <v>55</v>
      </c>
      <c r="C189">
        <v>76</v>
      </c>
    </row>
    <row r="190" spans="1:3" x14ac:dyDescent="0.35">
      <c r="A190" t="s">
        <v>139</v>
      </c>
      <c r="B190" t="s">
        <v>56</v>
      </c>
      <c r="C190">
        <v>75.900000000000006</v>
      </c>
    </row>
    <row r="191" spans="1:3" x14ac:dyDescent="0.35">
      <c r="A191" t="s">
        <v>139</v>
      </c>
      <c r="B191" t="s">
        <v>57</v>
      </c>
      <c r="C191">
        <v>76.5</v>
      </c>
    </row>
    <row r="192" spans="1:3" x14ac:dyDescent="0.35">
      <c r="A192" t="s">
        <v>139</v>
      </c>
      <c r="B192" t="s">
        <v>58</v>
      </c>
      <c r="C192">
        <v>76.599999999999994</v>
      </c>
    </row>
    <row r="193" spans="1:3" x14ac:dyDescent="0.35">
      <c r="A193" t="s">
        <v>139</v>
      </c>
      <c r="B193" t="s">
        <v>59</v>
      </c>
      <c r="C193">
        <v>77.099999999999994</v>
      </c>
    </row>
    <row r="194" spans="1:3" x14ac:dyDescent="0.35">
      <c r="A194" t="s">
        <v>139</v>
      </c>
      <c r="B194" t="s">
        <v>60</v>
      </c>
      <c r="C194">
        <v>77.3</v>
      </c>
    </row>
    <row r="195" spans="1:3" x14ac:dyDescent="0.35">
      <c r="A195" t="s">
        <v>139</v>
      </c>
      <c r="B195" t="s">
        <v>61</v>
      </c>
      <c r="C195">
        <v>78</v>
      </c>
    </row>
    <row r="196" spans="1:3" x14ac:dyDescent="0.35">
      <c r="A196" t="s">
        <v>139</v>
      </c>
      <c r="B196" t="s">
        <v>62</v>
      </c>
      <c r="C196">
        <v>78.400000000000006</v>
      </c>
    </row>
    <row r="197" spans="1:3" x14ac:dyDescent="0.35">
      <c r="A197" t="s">
        <v>139</v>
      </c>
      <c r="B197" t="s">
        <v>63</v>
      </c>
      <c r="C197">
        <v>78.8</v>
      </c>
    </row>
    <row r="198" spans="1:3" x14ac:dyDescent="0.35">
      <c r="A198" t="s">
        <v>139</v>
      </c>
      <c r="B198" t="s">
        <v>64</v>
      </c>
      <c r="C198">
        <v>78.7</v>
      </c>
    </row>
    <row r="199" spans="1:3" x14ac:dyDescent="0.35">
      <c r="A199" t="s">
        <v>139</v>
      </c>
      <c r="B199" t="s">
        <v>65</v>
      </c>
      <c r="C199">
        <v>79.8</v>
      </c>
    </row>
    <row r="200" spans="1:3" x14ac:dyDescent="0.35">
      <c r="A200" t="s">
        <v>139</v>
      </c>
      <c r="B200" t="s">
        <v>66</v>
      </c>
      <c r="C200">
        <v>80.3</v>
      </c>
    </row>
    <row r="201" spans="1:3" x14ac:dyDescent="0.35">
      <c r="A201" t="s">
        <v>139</v>
      </c>
      <c r="B201" t="s">
        <v>67</v>
      </c>
      <c r="C201">
        <v>80.900000000000006</v>
      </c>
    </row>
    <row r="202" spans="1:3" x14ac:dyDescent="0.35">
      <c r="A202" t="s">
        <v>139</v>
      </c>
      <c r="B202" t="s">
        <v>68</v>
      </c>
      <c r="C202">
        <v>81</v>
      </c>
    </row>
    <row r="203" spans="1:3" x14ac:dyDescent="0.35">
      <c r="A203" t="s">
        <v>139</v>
      </c>
      <c r="B203" t="s">
        <v>69</v>
      </c>
      <c r="C203">
        <v>81.8</v>
      </c>
    </row>
    <row r="204" spans="1:3" x14ac:dyDescent="0.35">
      <c r="A204" t="s">
        <v>139</v>
      </c>
      <c r="B204" t="s">
        <v>70</v>
      </c>
      <c r="C204">
        <v>81.7</v>
      </c>
    </row>
    <row r="205" spans="1:3" x14ac:dyDescent="0.35">
      <c r="A205" t="s">
        <v>139</v>
      </c>
      <c r="B205" t="s">
        <v>71</v>
      </c>
      <c r="C205">
        <v>82.6</v>
      </c>
    </row>
    <row r="206" spans="1:3" x14ac:dyDescent="0.35">
      <c r="A206" t="s">
        <v>139</v>
      </c>
      <c r="B206" t="s">
        <v>72</v>
      </c>
      <c r="C206">
        <v>82.924333333000007</v>
      </c>
    </row>
    <row r="207" spans="1:3" x14ac:dyDescent="0.35">
      <c r="A207" t="s">
        <v>139</v>
      </c>
      <c r="B207" t="s">
        <v>73</v>
      </c>
      <c r="C207">
        <v>84.597333332999995</v>
      </c>
    </row>
    <row r="208" spans="1:3" x14ac:dyDescent="0.35">
      <c r="A208" t="s">
        <v>139</v>
      </c>
      <c r="B208" t="s">
        <v>74</v>
      </c>
      <c r="C208">
        <v>85.653333333000006</v>
      </c>
    </row>
    <row r="209" spans="1:3" x14ac:dyDescent="0.35">
      <c r="A209" t="s">
        <v>139</v>
      </c>
      <c r="B209" t="s">
        <v>75</v>
      </c>
      <c r="C209">
        <v>85.758666667</v>
      </c>
    </row>
    <row r="210" spans="1:3" x14ac:dyDescent="0.35">
      <c r="A210" t="s">
        <v>139</v>
      </c>
      <c r="B210" t="s">
        <v>76</v>
      </c>
      <c r="C210">
        <v>85.416666667000001</v>
      </c>
    </row>
    <row r="211" spans="1:3" x14ac:dyDescent="0.35">
      <c r="A211" t="s">
        <v>139</v>
      </c>
      <c r="B211" t="s">
        <v>77</v>
      </c>
      <c r="C211">
        <v>86.364333333000005</v>
      </c>
    </row>
    <row r="212" spans="1:3" x14ac:dyDescent="0.35">
      <c r="A212" t="s">
        <v>139</v>
      </c>
      <c r="B212" t="s">
        <v>78</v>
      </c>
      <c r="C212">
        <v>86.929333333000002</v>
      </c>
    </row>
    <row r="213" spans="1:3" x14ac:dyDescent="0.35">
      <c r="A213" t="s">
        <v>139</v>
      </c>
      <c r="B213" t="s">
        <v>79</v>
      </c>
      <c r="C213">
        <v>87.562333332999998</v>
      </c>
    </row>
    <row r="214" spans="1:3" x14ac:dyDescent="0.35">
      <c r="A214" t="s">
        <v>139</v>
      </c>
      <c r="B214" t="s">
        <v>80</v>
      </c>
      <c r="C214">
        <v>88.213666666999998</v>
      </c>
    </row>
    <row r="215" spans="1:3" x14ac:dyDescent="0.35">
      <c r="A215" t="s">
        <v>139</v>
      </c>
      <c r="B215" t="s">
        <v>81</v>
      </c>
      <c r="C215">
        <v>89.349666666999994</v>
      </c>
    </row>
    <row r="216" spans="1:3" x14ac:dyDescent="0.35">
      <c r="A216" t="s">
        <v>139</v>
      </c>
      <c r="B216" t="s">
        <v>82</v>
      </c>
      <c r="C216">
        <v>89.611333333000005</v>
      </c>
    </row>
    <row r="217" spans="1:3" x14ac:dyDescent="0.35">
      <c r="A217" t="s">
        <v>139</v>
      </c>
      <c r="B217" t="s">
        <v>83</v>
      </c>
      <c r="C217">
        <v>90.518666667000005</v>
      </c>
    </row>
    <row r="218" spans="1:3" x14ac:dyDescent="0.35">
      <c r="A218" t="s">
        <v>139</v>
      </c>
      <c r="B218" t="s">
        <v>84</v>
      </c>
      <c r="C218">
        <v>91.846666666999994</v>
      </c>
    </row>
    <row r="219" spans="1:3" x14ac:dyDescent="0.35">
      <c r="A219" t="s">
        <v>139</v>
      </c>
      <c r="B219" t="s">
        <v>85</v>
      </c>
      <c r="C219">
        <v>93.260666666999995</v>
      </c>
    </row>
    <row r="220" spans="1:3" x14ac:dyDescent="0.35">
      <c r="A220" t="s">
        <v>139</v>
      </c>
      <c r="B220" t="s">
        <v>86</v>
      </c>
      <c r="C220">
        <v>93.828333333000003</v>
      </c>
    </row>
    <row r="221" spans="1:3" x14ac:dyDescent="0.35">
      <c r="A221" t="s">
        <v>139</v>
      </c>
      <c r="B221" t="s">
        <v>87</v>
      </c>
      <c r="C221">
        <v>94.724000000000004</v>
      </c>
    </row>
    <row r="222" spans="1:3" x14ac:dyDescent="0.35">
      <c r="A222" t="s">
        <v>139</v>
      </c>
      <c r="B222" t="s">
        <v>88</v>
      </c>
      <c r="C222">
        <v>95.052333333000007</v>
      </c>
    </row>
    <row r="223" spans="1:3" x14ac:dyDescent="0.35">
      <c r="A223" t="s">
        <v>139</v>
      </c>
      <c r="B223" t="s">
        <v>89</v>
      </c>
      <c r="C223">
        <v>95.830333332999999</v>
      </c>
    </row>
    <row r="224" spans="1:3" x14ac:dyDescent="0.35">
      <c r="A224" t="s">
        <v>139</v>
      </c>
      <c r="B224" t="s">
        <v>90</v>
      </c>
      <c r="C224">
        <v>96.091999999999999</v>
      </c>
    </row>
    <row r="225" spans="1:3" x14ac:dyDescent="0.35">
      <c r="A225" t="s">
        <v>139</v>
      </c>
      <c r="B225" t="s">
        <v>91</v>
      </c>
      <c r="C225">
        <v>97.253</v>
      </c>
    </row>
    <row r="226" spans="1:3" x14ac:dyDescent="0.35">
      <c r="A226" t="s">
        <v>139</v>
      </c>
      <c r="B226" t="s">
        <v>92</v>
      </c>
      <c r="C226">
        <v>97.691333333000003</v>
      </c>
    </row>
    <row r="227" spans="1:3" x14ac:dyDescent="0.35">
      <c r="A227" t="s">
        <v>139</v>
      </c>
      <c r="B227" t="s">
        <v>93</v>
      </c>
      <c r="C227">
        <v>98.397999999999996</v>
      </c>
    </row>
    <row r="228" spans="1:3" x14ac:dyDescent="0.35">
      <c r="A228" t="s">
        <v>139</v>
      </c>
      <c r="B228" t="s">
        <v>94</v>
      </c>
      <c r="C228">
        <v>98.694999999999993</v>
      </c>
    </row>
    <row r="229" spans="1:3" x14ac:dyDescent="0.35">
      <c r="A229" t="s">
        <v>139</v>
      </c>
      <c r="B229" t="s">
        <v>95</v>
      </c>
      <c r="C229">
        <v>99.298000000000002</v>
      </c>
    </row>
    <row r="230" spans="1:3" x14ac:dyDescent="0.35">
      <c r="A230" t="s">
        <v>139</v>
      </c>
      <c r="B230" t="s">
        <v>96</v>
      </c>
      <c r="C230">
        <v>99.390333333000001</v>
      </c>
    </row>
    <row r="231" spans="1:3" x14ac:dyDescent="0.35">
      <c r="A231" t="s">
        <v>139</v>
      </c>
      <c r="B231" t="s">
        <v>97</v>
      </c>
      <c r="C231">
        <v>100.09099999999999</v>
      </c>
    </row>
    <row r="232" spans="1:3" x14ac:dyDescent="0.35">
      <c r="A232" t="s">
        <v>139</v>
      </c>
      <c r="B232" t="s">
        <v>98</v>
      </c>
      <c r="C232">
        <v>100.13200000000001</v>
      </c>
    </row>
    <row r="233" spans="1:3" x14ac:dyDescent="0.35">
      <c r="A233" t="s">
        <v>139</v>
      </c>
      <c r="B233" t="s">
        <v>99</v>
      </c>
      <c r="C233">
        <v>100.226666667</v>
      </c>
    </row>
    <row r="234" spans="1:3" x14ac:dyDescent="0.35">
      <c r="A234" t="s">
        <v>139</v>
      </c>
      <c r="B234" t="s">
        <v>100</v>
      </c>
      <c r="C234">
        <v>99.490333332999995</v>
      </c>
    </row>
    <row r="235" spans="1:3" x14ac:dyDescent="0.35">
      <c r="A235" t="s">
        <v>139</v>
      </c>
      <c r="B235" t="s">
        <v>101</v>
      </c>
      <c r="C235">
        <v>100.074333333</v>
      </c>
    </row>
    <row r="236" spans="1:3" x14ac:dyDescent="0.35">
      <c r="A236" t="s">
        <v>139</v>
      </c>
      <c r="B236" t="s">
        <v>102</v>
      </c>
      <c r="C236">
        <v>100.141666667</v>
      </c>
    </row>
    <row r="237" spans="1:3" x14ac:dyDescent="0.35">
      <c r="A237" t="s">
        <v>139</v>
      </c>
      <c r="B237" t="s">
        <v>103</v>
      </c>
      <c r="C237">
        <v>100.294</v>
      </c>
    </row>
    <row r="238" spans="1:3" x14ac:dyDescent="0.35">
      <c r="A238" t="s">
        <v>139</v>
      </c>
      <c r="B238" t="s">
        <v>104</v>
      </c>
      <c r="C238">
        <v>99.835333332999994</v>
      </c>
    </row>
    <row r="239" spans="1:3" x14ac:dyDescent="0.35">
      <c r="A239" t="s">
        <v>139</v>
      </c>
      <c r="B239" t="s">
        <v>105</v>
      </c>
      <c r="C239">
        <v>100.426</v>
      </c>
    </row>
    <row r="240" spans="1:3" x14ac:dyDescent="0.35">
      <c r="A240" t="s">
        <v>139</v>
      </c>
      <c r="B240" t="s">
        <v>106</v>
      </c>
      <c r="C240">
        <v>100.869</v>
      </c>
    </row>
    <row r="241" spans="1:3" x14ac:dyDescent="0.35">
      <c r="A241" t="s">
        <v>139</v>
      </c>
      <c r="B241" t="s">
        <v>107</v>
      </c>
      <c r="C241">
        <v>101.508666667</v>
      </c>
    </row>
    <row r="242" spans="1:3" x14ac:dyDescent="0.35">
      <c r="A242" t="s">
        <v>139</v>
      </c>
      <c r="B242" t="s">
        <v>108</v>
      </c>
      <c r="C242">
        <v>101.97533333299999</v>
      </c>
    </row>
    <row r="243" spans="1:3" x14ac:dyDescent="0.35">
      <c r="A243" t="s">
        <v>139</v>
      </c>
      <c r="B243" t="s">
        <v>109</v>
      </c>
      <c r="C243">
        <v>103.180666667</v>
      </c>
    </row>
    <row r="244" spans="1:3" x14ac:dyDescent="0.35">
      <c r="A244" t="s">
        <v>139</v>
      </c>
      <c r="B244" t="s">
        <v>110</v>
      </c>
      <c r="C244">
        <v>103.71033333299999</v>
      </c>
    </row>
    <row r="245" spans="1:3" x14ac:dyDescent="0.35">
      <c r="A245" t="s">
        <v>139</v>
      </c>
      <c r="B245" t="s">
        <v>111</v>
      </c>
      <c r="C245">
        <v>104.57599999999999</v>
      </c>
    </row>
    <row r="246" spans="1:3" x14ac:dyDescent="0.35">
      <c r="A246" t="s">
        <v>139</v>
      </c>
      <c r="B246" t="s">
        <v>112</v>
      </c>
      <c r="C246">
        <v>104.746666667</v>
      </c>
    </row>
    <row r="247" spans="1:3" x14ac:dyDescent="0.35">
      <c r="A247" t="s">
        <v>139</v>
      </c>
      <c r="B247" t="s">
        <v>113</v>
      </c>
      <c r="C247">
        <v>105.67400000000001</v>
      </c>
    </row>
    <row r="248" spans="1:3" x14ac:dyDescent="0.35">
      <c r="A248" t="s">
        <v>139</v>
      </c>
      <c r="B248" t="s">
        <v>114</v>
      </c>
      <c r="C248">
        <v>106.319</v>
      </c>
    </row>
    <row r="249" spans="1:3" x14ac:dyDescent="0.35">
      <c r="A249" t="s">
        <v>139</v>
      </c>
      <c r="B249" t="s">
        <v>115</v>
      </c>
      <c r="C249">
        <v>106.94799999999999</v>
      </c>
    </row>
    <row r="250" spans="1:3" x14ac:dyDescent="0.35">
      <c r="A250" t="s">
        <v>139</v>
      </c>
      <c r="B250" t="s">
        <v>116</v>
      </c>
      <c r="C250">
        <v>106.710666667</v>
      </c>
    </row>
    <row r="251" spans="1:3" x14ac:dyDescent="0.35">
      <c r="A251" t="s">
        <v>139</v>
      </c>
      <c r="B251" t="s">
        <v>117</v>
      </c>
      <c r="C251">
        <v>107.83799999999999</v>
      </c>
    </row>
    <row r="252" spans="1:3" x14ac:dyDescent="0.35">
      <c r="A252" t="s">
        <v>139</v>
      </c>
      <c r="B252" t="s">
        <v>118</v>
      </c>
      <c r="C252">
        <v>108.267666667</v>
      </c>
    </row>
    <row r="253" spans="1:3" x14ac:dyDescent="0.35">
      <c r="A253" t="s">
        <v>139</v>
      </c>
      <c r="B253" t="s">
        <v>119</v>
      </c>
      <c r="C253">
        <v>108.45966666699999</v>
      </c>
    </row>
    <row r="254" spans="1:3" x14ac:dyDescent="0.35">
      <c r="A254" t="s">
        <v>139</v>
      </c>
      <c r="B254" t="s">
        <v>120</v>
      </c>
      <c r="C254">
        <v>108.48966666699999</v>
      </c>
    </row>
    <row r="255" spans="1:3" x14ac:dyDescent="0.35">
      <c r="A255" t="s">
        <v>139</v>
      </c>
      <c r="B255" t="s">
        <v>121</v>
      </c>
      <c r="C255">
        <v>108.503</v>
      </c>
    </row>
    <row r="256" spans="1:3" x14ac:dyDescent="0.35">
      <c r="A256" t="s">
        <v>139</v>
      </c>
      <c r="B256" t="s">
        <v>122</v>
      </c>
      <c r="C256">
        <v>108.913666667</v>
      </c>
    </row>
    <row r="257" spans="1:3" x14ac:dyDescent="0.35">
      <c r="A257" t="s">
        <v>139</v>
      </c>
      <c r="B257" t="s">
        <v>123</v>
      </c>
      <c r="C257">
        <v>109.038333333</v>
      </c>
    </row>
    <row r="258" spans="1:3" x14ac:dyDescent="0.35">
      <c r="A258" t="s">
        <v>139</v>
      </c>
      <c r="B258" t="s">
        <v>124</v>
      </c>
      <c r="C258">
        <v>109.151</v>
      </c>
    </row>
    <row r="259" spans="1:3" x14ac:dyDescent="0.35">
      <c r="A259" t="s">
        <v>139</v>
      </c>
      <c r="B259" t="s">
        <v>125</v>
      </c>
      <c r="C259">
        <v>110.729333333</v>
      </c>
    </row>
    <row r="260" spans="1:3" x14ac:dyDescent="0.35">
      <c r="A260" t="s">
        <v>139</v>
      </c>
      <c r="B260" t="s">
        <v>126</v>
      </c>
      <c r="C260">
        <v>111.932333333</v>
      </c>
    </row>
    <row r="261" spans="1:3" x14ac:dyDescent="0.35">
      <c r="A261" t="s">
        <v>139</v>
      </c>
      <c r="B261" t="s">
        <v>127</v>
      </c>
      <c r="C261">
        <v>114.389333333</v>
      </c>
    </row>
    <row r="262" spans="1:3" x14ac:dyDescent="0.35">
      <c r="A262" t="s">
        <v>139</v>
      </c>
      <c r="B262" t="s">
        <v>128</v>
      </c>
      <c r="C262">
        <v>115.939666667</v>
      </c>
    </row>
    <row r="263" spans="1:3" x14ac:dyDescent="0.35">
      <c r="A263" t="s">
        <v>139</v>
      </c>
      <c r="B263" t="s">
        <v>129</v>
      </c>
      <c r="C263">
        <v>120.88233333300001</v>
      </c>
    </row>
    <row r="264" spans="1:3" x14ac:dyDescent="0.35">
      <c r="A264" t="s">
        <v>139</v>
      </c>
      <c r="B264" t="s">
        <v>130</v>
      </c>
      <c r="C264">
        <v>123.15033333300001</v>
      </c>
    </row>
    <row r="265" spans="1:3" x14ac:dyDescent="0.35">
      <c r="A265" t="s">
        <v>139</v>
      </c>
      <c r="B265" t="s">
        <v>131</v>
      </c>
      <c r="C265">
        <v>126.68566666700001</v>
      </c>
    </row>
    <row r="266" spans="1:3" x14ac:dyDescent="0.35">
      <c r="A266" t="s">
        <v>139</v>
      </c>
      <c r="B266" t="s">
        <v>132</v>
      </c>
      <c r="C266">
        <v>127.736333333</v>
      </c>
    </row>
    <row r="267" spans="1:3" x14ac:dyDescent="0.35">
      <c r="A267" t="s">
        <v>139</v>
      </c>
      <c r="B267" t="s">
        <v>133</v>
      </c>
      <c r="C267">
        <v>131.07</v>
      </c>
    </row>
    <row r="268" spans="1:3" x14ac:dyDescent="0.35">
      <c r="A268" t="s">
        <v>139</v>
      </c>
      <c r="B268" t="s">
        <v>134</v>
      </c>
      <c r="C268">
        <v>131.416</v>
      </c>
    </row>
    <row r="269" spans="1:3" x14ac:dyDescent="0.35">
      <c r="A269" t="s">
        <v>139</v>
      </c>
      <c r="B269" t="s">
        <v>135</v>
      </c>
      <c r="C269">
        <v>131.97766666699999</v>
      </c>
    </row>
    <row r="270" spans="1:3" x14ac:dyDescent="0.35">
      <c r="A270" t="s">
        <v>139</v>
      </c>
      <c r="B270" t="s">
        <v>136</v>
      </c>
      <c r="C270">
        <v>132.25533333300001</v>
      </c>
    </row>
    <row r="271" spans="1:3" x14ac:dyDescent="0.35">
      <c r="A271" t="s">
        <v>139</v>
      </c>
      <c r="B271" t="s">
        <v>137</v>
      </c>
      <c r="C271">
        <v>133.821</v>
      </c>
    </row>
    <row r="272" spans="1:3" x14ac:dyDescent="0.35">
      <c r="A272" t="s">
        <v>139</v>
      </c>
      <c r="B272" t="s">
        <v>138</v>
      </c>
      <c r="C272">
        <v>134.10066666700001</v>
      </c>
    </row>
    <row r="273" spans="1:3" x14ac:dyDescent="0.35">
      <c r="A273" t="s">
        <v>139</v>
      </c>
      <c r="B273" t="s">
        <v>4</v>
      </c>
      <c r="C273">
        <v>135.235666667</v>
      </c>
    </row>
    <row r="274" spans="1:3" x14ac:dyDescent="0.35">
      <c r="A274" t="s">
        <v>144</v>
      </c>
      <c r="B274" t="s">
        <v>4</v>
      </c>
      <c r="C274">
        <v>4.3357933580000001</v>
      </c>
    </row>
    <row r="275" spans="1:3" x14ac:dyDescent="0.35">
      <c r="A275" t="s">
        <v>144</v>
      </c>
      <c r="B275" t="s">
        <v>5</v>
      </c>
      <c r="C275">
        <v>3.9761813030000002</v>
      </c>
    </row>
    <row r="276" spans="1:3" x14ac:dyDescent="0.35">
      <c r="A276" t="s">
        <v>144</v>
      </c>
      <c r="B276" t="s">
        <v>6</v>
      </c>
      <c r="C276">
        <v>3.7509129720000001</v>
      </c>
    </row>
    <row r="277" spans="1:3" x14ac:dyDescent="0.35">
      <c r="A277" t="s">
        <v>144</v>
      </c>
      <c r="B277" t="s">
        <v>7</v>
      </c>
      <c r="C277">
        <v>2.781531003</v>
      </c>
    </row>
    <row r="278" spans="1:3" x14ac:dyDescent="0.35">
      <c r="A278" t="s">
        <v>144</v>
      </c>
      <c r="B278" t="s">
        <v>8</v>
      </c>
      <c r="C278">
        <v>2.239807125</v>
      </c>
    </row>
    <row r="279" spans="1:3" x14ac:dyDescent="0.35">
      <c r="A279" t="s">
        <v>144</v>
      </c>
      <c r="B279" t="s">
        <v>9</v>
      </c>
      <c r="C279">
        <v>1.8432567959999999</v>
      </c>
    </row>
    <row r="280" spans="1:3" x14ac:dyDescent="0.35">
      <c r="A280" t="s">
        <v>144</v>
      </c>
      <c r="B280" t="s">
        <v>10</v>
      </c>
      <c r="C280">
        <v>1.6458909370000001</v>
      </c>
    </row>
    <row r="281" spans="1:3" x14ac:dyDescent="0.35">
      <c r="A281" t="s">
        <v>144</v>
      </c>
      <c r="B281" t="s">
        <v>11</v>
      </c>
      <c r="C281">
        <v>1.5730893100000001</v>
      </c>
    </row>
    <row r="282" spans="1:3" x14ac:dyDescent="0.35">
      <c r="A282" t="s">
        <v>144</v>
      </c>
      <c r="B282" t="s">
        <v>12</v>
      </c>
      <c r="C282">
        <v>1.627901732</v>
      </c>
    </row>
    <row r="283" spans="1:3" x14ac:dyDescent="0.35">
      <c r="A283" t="s">
        <v>144</v>
      </c>
      <c r="B283" t="s">
        <v>13</v>
      </c>
      <c r="C283">
        <v>1.7775703970000001</v>
      </c>
    </row>
    <row r="284" spans="1:3" x14ac:dyDescent="0.35">
      <c r="A284" t="s">
        <v>144</v>
      </c>
      <c r="B284" t="s">
        <v>14</v>
      </c>
      <c r="C284">
        <v>1.9907433269999999</v>
      </c>
    </row>
    <row r="285" spans="1:3" x14ac:dyDescent="0.35">
      <c r="A285" t="s">
        <v>144</v>
      </c>
      <c r="B285" t="s">
        <v>15</v>
      </c>
      <c r="C285">
        <v>2.0710625139999999</v>
      </c>
    </row>
    <row r="286" spans="1:3" x14ac:dyDescent="0.35">
      <c r="A286" t="s">
        <v>144</v>
      </c>
      <c r="B286" t="s">
        <v>16</v>
      </c>
      <c r="C286">
        <v>2.0602177049999999</v>
      </c>
    </row>
    <row r="287" spans="1:3" x14ac:dyDescent="0.35">
      <c r="A287" t="s">
        <v>144</v>
      </c>
      <c r="B287" t="s">
        <v>17</v>
      </c>
      <c r="C287">
        <v>2.0253607250000001</v>
      </c>
    </row>
    <row r="288" spans="1:3" x14ac:dyDescent="0.35">
      <c r="A288" t="s">
        <v>144</v>
      </c>
      <c r="B288" t="s">
        <v>18</v>
      </c>
      <c r="C288">
        <v>1.983014214</v>
      </c>
    </row>
    <row r="289" spans="1:3" x14ac:dyDescent="0.35">
      <c r="A289" t="s">
        <v>144</v>
      </c>
      <c r="B289" t="s">
        <v>19</v>
      </c>
      <c r="C289">
        <v>1.954338439</v>
      </c>
    </row>
    <row r="290" spans="1:3" x14ac:dyDescent="0.35">
      <c r="A290" t="s">
        <v>144</v>
      </c>
      <c r="B290" t="s">
        <v>20</v>
      </c>
      <c r="C290">
        <v>1.934911058</v>
      </c>
    </row>
    <row r="291" spans="1:3" x14ac:dyDescent="0.35">
      <c r="A291" t="s">
        <v>144</v>
      </c>
      <c r="B291" t="s">
        <v>21</v>
      </c>
      <c r="C291">
        <v>1.917169278</v>
      </c>
    </row>
    <row r="292" spans="1:3" x14ac:dyDescent="0.35">
      <c r="A292" t="s">
        <v>144</v>
      </c>
      <c r="B292" t="s">
        <v>22</v>
      </c>
      <c r="C292">
        <v>1.890523202</v>
      </c>
    </row>
    <row r="293" spans="1:3" x14ac:dyDescent="0.35">
      <c r="A293" t="s">
        <v>144</v>
      </c>
      <c r="B293" t="s">
        <v>23</v>
      </c>
      <c r="C293">
        <v>1.880443533</v>
      </c>
    </row>
    <row r="294" spans="1:3" x14ac:dyDescent="0.35">
      <c r="A294" t="s">
        <v>144</v>
      </c>
      <c r="B294" t="s">
        <v>24</v>
      </c>
      <c r="C294">
        <v>1.8767782099999999</v>
      </c>
    </row>
    <row r="295" spans="1:3" x14ac:dyDescent="0.35">
      <c r="A295" t="s">
        <v>144</v>
      </c>
      <c r="B295" t="s">
        <v>25</v>
      </c>
      <c r="C295">
        <v>1.8767859170000001</v>
      </c>
    </row>
    <row r="296" spans="1:3" x14ac:dyDescent="0.35">
      <c r="A296" t="s">
        <v>145</v>
      </c>
      <c r="B296" t="s">
        <v>4</v>
      </c>
      <c r="C296">
        <v>113.1</v>
      </c>
    </row>
    <row r="297" spans="1:3" x14ac:dyDescent="0.35">
      <c r="A297" t="s">
        <v>145</v>
      </c>
      <c r="B297" t="s">
        <v>5</v>
      </c>
      <c r="C297">
        <v>113.957894708</v>
      </c>
    </row>
    <row r="298" spans="1:3" x14ac:dyDescent="0.35">
      <c r="A298" t="s">
        <v>145</v>
      </c>
      <c r="B298" t="s">
        <v>6</v>
      </c>
      <c r="C298">
        <v>114.541007921</v>
      </c>
    </row>
    <row r="299" spans="1:3" x14ac:dyDescent="0.35">
      <c r="A299" t="s">
        <v>145</v>
      </c>
      <c r="B299" t="s">
        <v>7</v>
      </c>
      <c r="C299">
        <v>115.115314723</v>
      </c>
    </row>
    <row r="300" spans="1:3" x14ac:dyDescent="0.35">
      <c r="A300" t="s">
        <v>145</v>
      </c>
      <c r="B300" t="s">
        <v>8</v>
      </c>
      <c r="C300">
        <v>115.633221859</v>
      </c>
    </row>
    <row r="301" spans="1:3" x14ac:dyDescent="0.35">
      <c r="A301" t="s">
        <v>145</v>
      </c>
      <c r="B301" t="s">
        <v>9</v>
      </c>
      <c r="C301">
        <v>116.058431347</v>
      </c>
    </row>
    <row r="302" spans="1:3" x14ac:dyDescent="0.35">
      <c r="A302" t="s">
        <v>145</v>
      </c>
      <c r="B302" t="s">
        <v>10</v>
      </c>
      <c r="C302">
        <v>116.42622799</v>
      </c>
    </row>
    <row r="303" spans="1:3" x14ac:dyDescent="0.35">
      <c r="A303" t="s">
        <v>145</v>
      </c>
      <c r="B303" t="s">
        <v>11</v>
      </c>
      <c r="C303">
        <v>116.926181433</v>
      </c>
    </row>
    <row r="304" spans="1:3" x14ac:dyDescent="0.35">
      <c r="A304" t="s">
        <v>145</v>
      </c>
      <c r="B304" t="s">
        <v>12</v>
      </c>
      <c r="C304">
        <v>117.515617081</v>
      </c>
    </row>
    <row r="305" spans="1:3" x14ac:dyDescent="0.35">
      <c r="A305" t="s">
        <v>145</v>
      </c>
      <c r="B305" t="s">
        <v>13</v>
      </c>
      <c r="C305">
        <v>118.121451666</v>
      </c>
    </row>
    <row r="306" spans="1:3" x14ac:dyDescent="0.35">
      <c r="A306" t="s">
        <v>145</v>
      </c>
      <c r="B306" t="s">
        <v>14</v>
      </c>
      <c r="C306">
        <v>118.743975354</v>
      </c>
    </row>
    <row r="307" spans="1:3" x14ac:dyDescent="0.35">
      <c r="A307" t="s">
        <v>145</v>
      </c>
      <c r="B307" t="s">
        <v>15</v>
      </c>
      <c r="C307">
        <v>119.34779574700001</v>
      </c>
    </row>
    <row r="308" spans="1:3" x14ac:dyDescent="0.35">
      <c r="A308" t="s">
        <v>145</v>
      </c>
      <c r="B308" t="s">
        <v>16</v>
      </c>
      <c r="C308">
        <v>119.93669463000001</v>
      </c>
    </row>
    <row r="309" spans="1:3" x14ac:dyDescent="0.35">
      <c r="A309" t="s">
        <v>145</v>
      </c>
      <c r="B309" t="s">
        <v>17</v>
      </c>
      <c r="C309">
        <v>120.51383715599999</v>
      </c>
    </row>
    <row r="310" spans="1:3" x14ac:dyDescent="0.35">
      <c r="A310" t="s">
        <v>145</v>
      </c>
      <c r="B310" t="s">
        <v>18</v>
      </c>
      <c r="C310">
        <v>121.098685264</v>
      </c>
    </row>
    <row r="311" spans="1:3" x14ac:dyDescent="0.35">
      <c r="A311" t="s">
        <v>145</v>
      </c>
      <c r="B311" t="s">
        <v>19</v>
      </c>
      <c r="C311">
        <v>121.68025559500001</v>
      </c>
    </row>
    <row r="312" spans="1:3" x14ac:dyDescent="0.35">
      <c r="A312" t="s">
        <v>145</v>
      </c>
      <c r="B312" t="s">
        <v>20</v>
      </c>
      <c r="C312">
        <v>122.257362997</v>
      </c>
    </row>
    <row r="313" spans="1:3" x14ac:dyDescent="0.35">
      <c r="A313" t="s">
        <v>145</v>
      </c>
      <c r="B313" t="s">
        <v>21</v>
      </c>
      <c r="C313">
        <v>122.824291417</v>
      </c>
    </row>
    <row r="314" spans="1:3" x14ac:dyDescent="0.35">
      <c r="A314" t="s">
        <v>145</v>
      </c>
      <c r="B314" t="s">
        <v>22</v>
      </c>
      <c r="C314">
        <v>123.388084005</v>
      </c>
    </row>
    <row r="315" spans="1:3" x14ac:dyDescent="0.35">
      <c r="A315" t="s">
        <v>145</v>
      </c>
      <c r="B315" t="s">
        <v>23</v>
      </c>
      <c r="C315">
        <v>123.96838409199999</v>
      </c>
    </row>
    <row r="316" spans="1:3" x14ac:dyDescent="0.35">
      <c r="A316" t="s">
        <v>145</v>
      </c>
      <c r="B316" t="s">
        <v>24</v>
      </c>
      <c r="C316">
        <v>124.55186254500001</v>
      </c>
    </row>
    <row r="317" spans="1:3" x14ac:dyDescent="0.35">
      <c r="A317" t="s">
        <v>145</v>
      </c>
      <c r="B317" t="s">
        <v>25</v>
      </c>
      <c r="C317">
        <v>125.129440422</v>
      </c>
    </row>
    <row r="318" spans="1:3" x14ac:dyDescent="0.35">
      <c r="A318" t="s">
        <v>146</v>
      </c>
      <c r="B318" t="s">
        <v>92</v>
      </c>
      <c r="C318">
        <v>2.130325815</v>
      </c>
    </row>
    <row r="319" spans="1:3" x14ac:dyDescent="0.35">
      <c r="A319" t="s">
        <v>146</v>
      </c>
      <c r="B319" t="s">
        <v>93</v>
      </c>
      <c r="C319">
        <v>2.1276595739999999</v>
      </c>
    </row>
    <row r="320" spans="1:3" x14ac:dyDescent="0.35">
      <c r="A320" t="s">
        <v>146</v>
      </c>
      <c r="B320" t="s">
        <v>94</v>
      </c>
      <c r="C320">
        <v>2.3661270239999999</v>
      </c>
    </row>
    <row r="321" spans="1:3" x14ac:dyDescent="0.35">
      <c r="A321" t="s">
        <v>146</v>
      </c>
      <c r="B321" t="s">
        <v>95</v>
      </c>
      <c r="C321">
        <v>1.8564356440000001</v>
      </c>
    </row>
    <row r="322" spans="1:3" x14ac:dyDescent="0.35">
      <c r="A322" t="s">
        <v>146</v>
      </c>
      <c r="B322" t="s">
        <v>96</v>
      </c>
      <c r="C322">
        <v>1.349693252</v>
      </c>
    </row>
    <row r="323" spans="1:3" x14ac:dyDescent="0.35">
      <c r="A323" t="s">
        <v>146</v>
      </c>
      <c r="B323" t="s">
        <v>97</v>
      </c>
      <c r="C323">
        <v>1.1029411760000001</v>
      </c>
    </row>
    <row r="324" spans="1:3" x14ac:dyDescent="0.35">
      <c r="A324" t="s">
        <v>146</v>
      </c>
      <c r="B324" t="s">
        <v>98</v>
      </c>
      <c r="C324">
        <v>1.581508516</v>
      </c>
    </row>
    <row r="325" spans="1:3" x14ac:dyDescent="0.35">
      <c r="A325" t="s">
        <v>146</v>
      </c>
      <c r="B325" t="s">
        <v>99</v>
      </c>
      <c r="C325">
        <v>1.215066829</v>
      </c>
    </row>
    <row r="326" spans="1:3" x14ac:dyDescent="0.35">
      <c r="A326" t="s">
        <v>146</v>
      </c>
      <c r="B326" t="s">
        <v>100</v>
      </c>
      <c r="C326">
        <v>0.96852300199999997</v>
      </c>
    </row>
    <row r="327" spans="1:3" x14ac:dyDescent="0.35">
      <c r="A327" t="s">
        <v>146</v>
      </c>
      <c r="B327" t="s">
        <v>101</v>
      </c>
      <c r="C327">
        <v>0.84848484800000001</v>
      </c>
    </row>
    <row r="328" spans="1:3" x14ac:dyDescent="0.35">
      <c r="A328" t="s">
        <v>146</v>
      </c>
      <c r="B328" t="s">
        <v>102</v>
      </c>
      <c r="C328">
        <v>0</v>
      </c>
    </row>
    <row r="329" spans="1:3" x14ac:dyDescent="0.35">
      <c r="A329" t="s">
        <v>146</v>
      </c>
      <c r="B329" t="s">
        <v>103</v>
      </c>
      <c r="C329">
        <v>0.72028811500000001</v>
      </c>
    </row>
    <row r="330" spans="1:3" x14ac:dyDescent="0.35">
      <c r="A330" t="s">
        <v>146</v>
      </c>
      <c r="B330" t="s">
        <v>104</v>
      </c>
      <c r="C330">
        <v>1.1990407670000001</v>
      </c>
    </row>
    <row r="331" spans="1:3" x14ac:dyDescent="0.35">
      <c r="A331" t="s">
        <v>146</v>
      </c>
      <c r="B331" t="s">
        <v>105</v>
      </c>
      <c r="C331">
        <v>1.682692308</v>
      </c>
    </row>
    <row r="332" spans="1:3" x14ac:dyDescent="0.35">
      <c r="A332" t="s">
        <v>146</v>
      </c>
      <c r="B332" t="s">
        <v>106</v>
      </c>
      <c r="C332">
        <v>2.395209581</v>
      </c>
    </row>
    <row r="333" spans="1:3" x14ac:dyDescent="0.35">
      <c r="A333" t="s">
        <v>146</v>
      </c>
      <c r="B333" t="s">
        <v>107</v>
      </c>
      <c r="C333">
        <v>2.6221692490000001</v>
      </c>
    </row>
    <row r="334" spans="1:3" x14ac:dyDescent="0.35">
      <c r="A334" t="s">
        <v>146</v>
      </c>
      <c r="B334" t="s">
        <v>108</v>
      </c>
      <c r="C334">
        <v>2.3696682459999998</v>
      </c>
    </row>
    <row r="335" spans="1:3" x14ac:dyDescent="0.35">
      <c r="A335" t="s">
        <v>146</v>
      </c>
      <c r="B335" t="s">
        <v>109</v>
      </c>
      <c r="C335">
        <v>2.2458628840000001</v>
      </c>
    </row>
    <row r="336" spans="1:3" x14ac:dyDescent="0.35">
      <c r="A336" t="s">
        <v>146</v>
      </c>
      <c r="B336" t="s">
        <v>110</v>
      </c>
      <c r="C336">
        <v>1.2865497079999999</v>
      </c>
    </row>
    <row r="337" spans="1:3" x14ac:dyDescent="0.35">
      <c r="A337" t="s">
        <v>146</v>
      </c>
      <c r="B337" t="s">
        <v>111</v>
      </c>
      <c r="C337">
        <v>1.5098722419999999</v>
      </c>
    </row>
    <row r="338" spans="1:3" x14ac:dyDescent="0.35">
      <c r="A338" t="s">
        <v>146</v>
      </c>
      <c r="B338" t="s">
        <v>112</v>
      </c>
      <c r="C338">
        <v>1.273148148</v>
      </c>
    </row>
    <row r="339" spans="1:3" x14ac:dyDescent="0.35">
      <c r="A339" t="s">
        <v>146</v>
      </c>
      <c r="B339" t="s">
        <v>113</v>
      </c>
      <c r="C339">
        <v>1.849710983</v>
      </c>
    </row>
    <row r="340" spans="1:3" x14ac:dyDescent="0.35">
      <c r="A340" t="s">
        <v>146</v>
      </c>
      <c r="B340" t="s">
        <v>114</v>
      </c>
      <c r="C340">
        <v>2.3094688219999999</v>
      </c>
    </row>
    <row r="341" spans="1:3" x14ac:dyDescent="0.35">
      <c r="A341" t="s">
        <v>146</v>
      </c>
      <c r="B341" t="s">
        <v>115</v>
      </c>
      <c r="C341">
        <v>2.1739130430000002</v>
      </c>
    </row>
    <row r="342" spans="1:3" x14ac:dyDescent="0.35">
      <c r="A342" t="s">
        <v>146</v>
      </c>
      <c r="B342" t="s">
        <v>116</v>
      </c>
      <c r="C342">
        <v>2.0571428570000001</v>
      </c>
    </row>
    <row r="343" spans="1:3" x14ac:dyDescent="0.35">
      <c r="A343" t="s">
        <v>146</v>
      </c>
      <c r="B343" t="s">
        <v>117</v>
      </c>
      <c r="C343">
        <v>2.3836549379999998</v>
      </c>
    </row>
    <row r="344" spans="1:3" x14ac:dyDescent="0.35">
      <c r="A344" t="s">
        <v>146</v>
      </c>
      <c r="B344" t="s">
        <v>118</v>
      </c>
      <c r="C344">
        <v>2.257336343</v>
      </c>
    </row>
    <row r="345" spans="1:3" x14ac:dyDescent="0.35">
      <c r="A345" t="s">
        <v>146</v>
      </c>
      <c r="B345" t="s">
        <v>119</v>
      </c>
      <c r="C345">
        <v>2.015677492</v>
      </c>
    </row>
    <row r="346" spans="1:3" x14ac:dyDescent="0.35">
      <c r="A346" t="s">
        <v>146</v>
      </c>
      <c r="B346" t="s">
        <v>120</v>
      </c>
      <c r="C346">
        <v>2.911534155</v>
      </c>
    </row>
    <row r="347" spans="1:3" x14ac:dyDescent="0.35">
      <c r="A347" t="s">
        <v>146</v>
      </c>
      <c r="B347" t="s">
        <v>121</v>
      </c>
      <c r="C347">
        <v>9.5343680709999994</v>
      </c>
    </row>
    <row r="348" spans="1:3" x14ac:dyDescent="0.35">
      <c r="A348" t="s">
        <v>146</v>
      </c>
      <c r="B348" t="s">
        <v>122</v>
      </c>
      <c r="C348">
        <v>4.7461368650000004</v>
      </c>
    </row>
    <row r="349" spans="1:3" x14ac:dyDescent="0.35">
      <c r="A349" t="s">
        <v>146</v>
      </c>
      <c r="B349" t="s">
        <v>123</v>
      </c>
      <c r="C349">
        <v>3.5126234909999998</v>
      </c>
    </row>
    <row r="350" spans="1:3" x14ac:dyDescent="0.35">
      <c r="A350" t="s">
        <v>146</v>
      </c>
      <c r="B350" t="s">
        <v>124</v>
      </c>
      <c r="C350">
        <v>3.6996735580000002</v>
      </c>
    </row>
    <row r="351" spans="1:3" x14ac:dyDescent="0.35">
      <c r="A351" t="s">
        <v>146</v>
      </c>
      <c r="B351" t="s">
        <v>125</v>
      </c>
      <c r="C351">
        <v>-4.9595141700000003</v>
      </c>
    </row>
    <row r="352" spans="1:3" x14ac:dyDescent="0.35">
      <c r="A352" t="s">
        <v>146</v>
      </c>
      <c r="B352" t="s">
        <v>126</v>
      </c>
      <c r="C352">
        <v>-0.42149631199999998</v>
      </c>
    </row>
    <row r="353" spans="1:3" x14ac:dyDescent="0.35">
      <c r="A353" t="s">
        <v>146</v>
      </c>
      <c r="B353" t="s">
        <v>127</v>
      </c>
      <c r="C353">
        <v>1.378579003</v>
      </c>
    </row>
    <row r="354" spans="1:3" x14ac:dyDescent="0.35">
      <c r="A354" t="s">
        <v>146</v>
      </c>
      <c r="B354" t="s">
        <v>128</v>
      </c>
      <c r="C354">
        <v>1.783840504</v>
      </c>
    </row>
    <row r="355" spans="1:3" x14ac:dyDescent="0.35">
      <c r="A355" t="s">
        <v>146</v>
      </c>
      <c r="B355" t="s">
        <v>129</v>
      </c>
      <c r="C355">
        <v>5.5378061770000002</v>
      </c>
    </row>
    <row r="356" spans="1:3" x14ac:dyDescent="0.35">
      <c r="A356" t="s">
        <v>146</v>
      </c>
      <c r="B356" t="s">
        <v>130</v>
      </c>
      <c r="C356">
        <v>6.560846561</v>
      </c>
    </row>
    <row r="357" spans="1:3" x14ac:dyDescent="0.35">
      <c r="A357" t="s">
        <v>146</v>
      </c>
      <c r="B357" t="s">
        <v>131</v>
      </c>
      <c r="C357">
        <v>7.9497907950000002</v>
      </c>
    </row>
    <row r="358" spans="1:3" x14ac:dyDescent="0.35">
      <c r="A358" t="s">
        <v>146</v>
      </c>
      <c r="B358" t="s">
        <v>132</v>
      </c>
      <c r="C358">
        <v>8.3505154640000008</v>
      </c>
    </row>
    <row r="359" spans="1:3" x14ac:dyDescent="0.35">
      <c r="A359" t="s">
        <v>146</v>
      </c>
      <c r="B359" t="s">
        <v>133</v>
      </c>
      <c r="C359">
        <v>7.9717457109999996</v>
      </c>
    </row>
    <row r="360" spans="1:3" x14ac:dyDescent="0.35">
      <c r="A360" t="s">
        <v>146</v>
      </c>
      <c r="B360" t="s">
        <v>134</v>
      </c>
      <c r="C360">
        <v>7.2492552139999997</v>
      </c>
    </row>
    <row r="361" spans="1:3" x14ac:dyDescent="0.35">
      <c r="A361" t="s">
        <v>146</v>
      </c>
      <c r="B361" t="s">
        <v>135</v>
      </c>
      <c r="C361">
        <v>5.03875969</v>
      </c>
    </row>
    <row r="362" spans="1:3" x14ac:dyDescent="0.35">
      <c r="A362" t="s">
        <v>146</v>
      </c>
      <c r="B362" t="s">
        <v>136</v>
      </c>
      <c r="C362">
        <v>4.2816365369999998</v>
      </c>
    </row>
    <row r="363" spans="1:3" x14ac:dyDescent="0.35">
      <c r="A363" t="s">
        <v>146</v>
      </c>
      <c r="B363" t="s">
        <v>137</v>
      </c>
      <c r="C363">
        <v>3.1775700929999999</v>
      </c>
    </row>
    <row r="364" spans="1:3" x14ac:dyDescent="0.35">
      <c r="A364" t="s">
        <v>146</v>
      </c>
      <c r="B364" t="s">
        <v>138</v>
      </c>
      <c r="C364">
        <v>3.703703704</v>
      </c>
    </row>
    <row r="365" spans="1:3" x14ac:dyDescent="0.35">
      <c r="A365" t="s">
        <v>146</v>
      </c>
      <c r="B365" t="s">
        <v>4</v>
      </c>
      <c r="C365">
        <v>4.3357933580000001</v>
      </c>
    </row>
    <row r="366" spans="1:3" x14ac:dyDescent="0.35">
      <c r="A366" t="s">
        <v>147</v>
      </c>
      <c r="B366" t="s">
        <v>88</v>
      </c>
      <c r="C366">
        <v>79.8</v>
      </c>
    </row>
    <row r="367" spans="1:3" x14ac:dyDescent="0.35">
      <c r="A367" t="s">
        <v>147</v>
      </c>
      <c r="B367" t="s">
        <v>89</v>
      </c>
      <c r="C367">
        <v>79.900000000000006</v>
      </c>
    </row>
    <row r="368" spans="1:3" x14ac:dyDescent="0.35">
      <c r="A368" t="s">
        <v>147</v>
      </c>
      <c r="B368" t="s">
        <v>90</v>
      </c>
      <c r="C368">
        <v>80.3</v>
      </c>
    </row>
    <row r="369" spans="1:3" x14ac:dyDescent="0.35">
      <c r="A369" t="s">
        <v>147</v>
      </c>
      <c r="B369" t="s">
        <v>91</v>
      </c>
      <c r="C369">
        <v>80.8</v>
      </c>
    </row>
    <row r="370" spans="1:3" x14ac:dyDescent="0.35">
      <c r="A370" t="s">
        <v>147</v>
      </c>
      <c r="B370" t="s">
        <v>92</v>
      </c>
      <c r="C370">
        <v>81.5</v>
      </c>
    </row>
    <row r="371" spans="1:3" x14ac:dyDescent="0.35">
      <c r="A371" t="s">
        <v>147</v>
      </c>
      <c r="B371" t="s">
        <v>93</v>
      </c>
      <c r="C371">
        <v>81.599999999999994</v>
      </c>
    </row>
    <row r="372" spans="1:3" x14ac:dyDescent="0.35">
      <c r="A372" t="s">
        <v>147</v>
      </c>
      <c r="B372" t="s">
        <v>94</v>
      </c>
      <c r="C372">
        <v>82.2</v>
      </c>
    </row>
    <row r="373" spans="1:3" x14ac:dyDescent="0.35">
      <c r="A373" t="s">
        <v>147</v>
      </c>
      <c r="B373" t="s">
        <v>95</v>
      </c>
      <c r="C373">
        <v>82.3</v>
      </c>
    </row>
    <row r="374" spans="1:3" x14ac:dyDescent="0.35">
      <c r="A374" t="s">
        <v>147</v>
      </c>
      <c r="B374" t="s">
        <v>96</v>
      </c>
      <c r="C374">
        <v>82.6</v>
      </c>
    </row>
    <row r="375" spans="1:3" x14ac:dyDescent="0.35">
      <c r="A375" t="s">
        <v>147</v>
      </c>
      <c r="B375" t="s">
        <v>97</v>
      </c>
      <c r="C375">
        <v>82.5</v>
      </c>
    </row>
    <row r="376" spans="1:3" x14ac:dyDescent="0.35">
      <c r="A376" t="s">
        <v>147</v>
      </c>
      <c r="B376" t="s">
        <v>98</v>
      </c>
      <c r="C376">
        <v>83.5</v>
      </c>
    </row>
    <row r="377" spans="1:3" x14ac:dyDescent="0.35">
      <c r="A377" t="s">
        <v>147</v>
      </c>
      <c r="B377" t="s">
        <v>99</v>
      </c>
      <c r="C377">
        <v>83.3</v>
      </c>
    </row>
    <row r="378" spans="1:3" x14ac:dyDescent="0.35">
      <c r="A378" t="s">
        <v>147</v>
      </c>
      <c r="B378" t="s">
        <v>100</v>
      </c>
      <c r="C378">
        <v>83.4</v>
      </c>
    </row>
    <row r="379" spans="1:3" x14ac:dyDescent="0.35">
      <c r="A379" t="s">
        <v>147</v>
      </c>
      <c r="B379" t="s">
        <v>101</v>
      </c>
      <c r="C379">
        <v>83.2</v>
      </c>
    </row>
    <row r="380" spans="1:3" x14ac:dyDescent="0.35">
      <c r="A380" t="s">
        <v>147</v>
      </c>
      <c r="B380" t="s">
        <v>102</v>
      </c>
      <c r="C380">
        <v>83.5</v>
      </c>
    </row>
    <row r="381" spans="1:3" x14ac:dyDescent="0.35">
      <c r="A381" t="s">
        <v>147</v>
      </c>
      <c r="B381" t="s">
        <v>103</v>
      </c>
      <c r="C381">
        <v>83.9</v>
      </c>
    </row>
    <row r="382" spans="1:3" x14ac:dyDescent="0.35">
      <c r="A382" t="s">
        <v>147</v>
      </c>
      <c r="B382" t="s">
        <v>104</v>
      </c>
      <c r="C382">
        <v>84.4</v>
      </c>
    </row>
    <row r="383" spans="1:3" x14ac:dyDescent="0.35">
      <c r="A383" t="s">
        <v>147</v>
      </c>
      <c r="B383" t="s">
        <v>105</v>
      </c>
      <c r="C383">
        <v>84.6</v>
      </c>
    </row>
    <row r="384" spans="1:3" x14ac:dyDescent="0.35">
      <c r="A384" t="s">
        <v>147</v>
      </c>
      <c r="B384" t="s">
        <v>106</v>
      </c>
      <c r="C384">
        <v>85.5</v>
      </c>
    </row>
    <row r="385" spans="1:3" x14ac:dyDescent="0.35">
      <c r="A385" t="s">
        <v>147</v>
      </c>
      <c r="B385" t="s">
        <v>107</v>
      </c>
      <c r="C385">
        <v>86.1</v>
      </c>
    </row>
    <row r="386" spans="1:3" x14ac:dyDescent="0.35">
      <c r="A386" t="s">
        <v>147</v>
      </c>
      <c r="B386" t="s">
        <v>108</v>
      </c>
      <c r="C386">
        <v>86.4</v>
      </c>
    </row>
    <row r="387" spans="1:3" x14ac:dyDescent="0.35">
      <c r="A387" t="s">
        <v>147</v>
      </c>
      <c r="B387" t="s">
        <v>109</v>
      </c>
      <c r="C387">
        <v>86.5</v>
      </c>
    </row>
    <row r="388" spans="1:3" x14ac:dyDescent="0.35">
      <c r="A388" t="s">
        <v>147</v>
      </c>
      <c r="B388" t="s">
        <v>110</v>
      </c>
      <c r="C388">
        <v>86.6</v>
      </c>
    </row>
    <row r="389" spans="1:3" x14ac:dyDescent="0.35">
      <c r="A389" t="s">
        <v>147</v>
      </c>
      <c r="B389" t="s">
        <v>111</v>
      </c>
      <c r="C389">
        <v>87.4</v>
      </c>
    </row>
    <row r="390" spans="1:3" x14ac:dyDescent="0.35">
      <c r="A390" t="s">
        <v>147</v>
      </c>
      <c r="B390" t="s">
        <v>112</v>
      </c>
      <c r="C390">
        <v>87.5</v>
      </c>
    </row>
    <row r="391" spans="1:3" x14ac:dyDescent="0.35">
      <c r="A391" t="s">
        <v>147</v>
      </c>
      <c r="B391" t="s">
        <v>113</v>
      </c>
      <c r="C391">
        <v>88.1</v>
      </c>
    </row>
    <row r="392" spans="1:3" x14ac:dyDescent="0.35">
      <c r="A392" t="s">
        <v>147</v>
      </c>
      <c r="B392" t="s">
        <v>114</v>
      </c>
      <c r="C392">
        <v>88.6</v>
      </c>
    </row>
    <row r="393" spans="1:3" x14ac:dyDescent="0.35">
      <c r="A393" t="s">
        <v>147</v>
      </c>
      <c r="B393" t="s">
        <v>115</v>
      </c>
      <c r="C393">
        <v>89.3</v>
      </c>
    </row>
    <row r="394" spans="1:3" x14ac:dyDescent="0.35">
      <c r="A394" t="s">
        <v>147</v>
      </c>
      <c r="B394" t="s">
        <v>116</v>
      </c>
      <c r="C394">
        <v>89.3</v>
      </c>
    </row>
    <row r="395" spans="1:3" x14ac:dyDescent="0.35">
      <c r="A395" t="s">
        <v>147</v>
      </c>
      <c r="B395" t="s">
        <v>117</v>
      </c>
      <c r="C395">
        <v>90.2</v>
      </c>
    </row>
    <row r="396" spans="1:3" x14ac:dyDescent="0.35">
      <c r="A396" t="s">
        <v>147</v>
      </c>
      <c r="B396" t="s">
        <v>118</v>
      </c>
      <c r="C396">
        <v>90.6</v>
      </c>
    </row>
    <row r="397" spans="1:3" x14ac:dyDescent="0.35">
      <c r="A397" t="s">
        <v>147</v>
      </c>
      <c r="B397" t="s">
        <v>119</v>
      </c>
      <c r="C397">
        <v>91.1</v>
      </c>
    </row>
    <row r="398" spans="1:3" x14ac:dyDescent="0.35">
      <c r="A398" t="s">
        <v>147</v>
      </c>
      <c r="B398" t="s">
        <v>120</v>
      </c>
      <c r="C398">
        <v>91.9</v>
      </c>
    </row>
    <row r="399" spans="1:3" x14ac:dyDescent="0.35">
      <c r="A399" t="s">
        <v>147</v>
      </c>
      <c r="B399" t="s">
        <v>121</v>
      </c>
      <c r="C399">
        <v>98.8</v>
      </c>
    </row>
    <row r="400" spans="1:3" x14ac:dyDescent="0.35">
      <c r="A400" t="s">
        <v>147</v>
      </c>
      <c r="B400" t="s">
        <v>122</v>
      </c>
      <c r="C400">
        <v>94.9</v>
      </c>
    </row>
    <row r="401" spans="1:3" x14ac:dyDescent="0.35">
      <c r="A401" t="s">
        <v>147</v>
      </c>
      <c r="B401" t="s">
        <v>123</v>
      </c>
      <c r="C401">
        <v>94.3</v>
      </c>
    </row>
    <row r="402" spans="1:3" x14ac:dyDescent="0.35">
      <c r="A402" t="s">
        <v>147</v>
      </c>
      <c r="B402" t="s">
        <v>124</v>
      </c>
      <c r="C402">
        <v>95.3</v>
      </c>
    </row>
    <row r="403" spans="1:3" x14ac:dyDescent="0.35">
      <c r="A403" t="s">
        <v>147</v>
      </c>
      <c r="B403" t="s">
        <v>125</v>
      </c>
      <c r="C403">
        <v>93.9</v>
      </c>
    </row>
    <row r="404" spans="1:3" x14ac:dyDescent="0.35">
      <c r="A404" t="s">
        <v>147</v>
      </c>
      <c r="B404" t="s">
        <v>126</v>
      </c>
      <c r="C404">
        <v>94.5</v>
      </c>
    </row>
    <row r="405" spans="1:3" x14ac:dyDescent="0.35">
      <c r="A405" t="s">
        <v>147</v>
      </c>
      <c r="B405" t="s">
        <v>127</v>
      </c>
      <c r="C405">
        <v>95.6</v>
      </c>
    </row>
    <row r="406" spans="1:3" x14ac:dyDescent="0.35">
      <c r="A406" t="s">
        <v>147</v>
      </c>
      <c r="B406" t="s">
        <v>128</v>
      </c>
      <c r="C406">
        <v>97</v>
      </c>
    </row>
    <row r="407" spans="1:3" x14ac:dyDescent="0.35">
      <c r="A407" t="s">
        <v>147</v>
      </c>
      <c r="B407" t="s">
        <v>129</v>
      </c>
      <c r="C407">
        <v>99.1</v>
      </c>
    </row>
    <row r="408" spans="1:3" x14ac:dyDescent="0.35">
      <c r="A408" t="s">
        <v>147</v>
      </c>
      <c r="B408" t="s">
        <v>130</v>
      </c>
      <c r="C408">
        <v>100.7</v>
      </c>
    </row>
    <row r="409" spans="1:3" x14ac:dyDescent="0.35">
      <c r="A409" t="s">
        <v>147</v>
      </c>
      <c r="B409" t="s">
        <v>131</v>
      </c>
      <c r="C409">
        <v>103.2</v>
      </c>
    </row>
    <row r="410" spans="1:3" x14ac:dyDescent="0.35">
      <c r="A410" t="s">
        <v>147</v>
      </c>
      <c r="B410" t="s">
        <v>132</v>
      </c>
      <c r="C410">
        <v>105.1</v>
      </c>
    </row>
    <row r="411" spans="1:3" x14ac:dyDescent="0.35">
      <c r="A411" t="s">
        <v>147</v>
      </c>
      <c r="B411" t="s">
        <v>133</v>
      </c>
      <c r="C411">
        <v>107</v>
      </c>
    </row>
    <row r="412" spans="1:3" x14ac:dyDescent="0.35">
      <c r="A412" t="s">
        <v>147</v>
      </c>
      <c r="B412" t="s">
        <v>134</v>
      </c>
      <c r="C412">
        <v>108</v>
      </c>
    </row>
    <row r="413" spans="1:3" x14ac:dyDescent="0.35">
      <c r="A413" t="s">
        <v>147</v>
      </c>
      <c r="B413" t="s">
        <v>135</v>
      </c>
      <c r="C413">
        <v>108.4</v>
      </c>
    </row>
    <row r="414" spans="1:3" x14ac:dyDescent="0.35">
      <c r="A414" t="s">
        <v>147</v>
      </c>
      <c r="B414" t="s">
        <v>136</v>
      </c>
      <c r="C414">
        <v>109.6</v>
      </c>
    </row>
    <row r="415" spans="1:3" x14ac:dyDescent="0.35">
      <c r="A415" t="s">
        <v>147</v>
      </c>
      <c r="B415" t="s">
        <v>137</v>
      </c>
      <c r="C415">
        <v>110.4</v>
      </c>
    </row>
    <row r="416" spans="1:3" x14ac:dyDescent="0.35">
      <c r="A416" t="s">
        <v>147</v>
      </c>
      <c r="B416" t="s">
        <v>138</v>
      </c>
      <c r="C416">
        <v>112</v>
      </c>
    </row>
    <row r="417" spans="1:3" x14ac:dyDescent="0.35">
      <c r="A417" t="s">
        <v>147</v>
      </c>
      <c r="B417" t="s">
        <v>4</v>
      </c>
      <c r="C417">
        <v>113.1</v>
      </c>
    </row>
    <row r="418" spans="1:3" x14ac:dyDescent="0.35">
      <c r="A418" t="s">
        <v>148</v>
      </c>
      <c r="B418" t="s">
        <v>4</v>
      </c>
      <c r="C418">
        <v>3.49175558</v>
      </c>
    </row>
    <row r="419" spans="1:3" x14ac:dyDescent="0.35">
      <c r="A419" t="s">
        <v>148</v>
      </c>
      <c r="B419" t="s">
        <v>5</v>
      </c>
      <c r="C419">
        <v>3.4478595420000002</v>
      </c>
    </row>
    <row r="420" spans="1:3" x14ac:dyDescent="0.35">
      <c r="A420" t="s">
        <v>148</v>
      </c>
      <c r="B420" t="s">
        <v>6</v>
      </c>
      <c r="C420">
        <v>4.1248394790000003</v>
      </c>
    </row>
    <row r="421" spans="1:3" x14ac:dyDescent="0.35">
      <c r="A421" t="s">
        <v>148</v>
      </c>
      <c r="B421" t="s">
        <v>7</v>
      </c>
      <c r="C421">
        <v>4.5709283840000001</v>
      </c>
    </row>
    <row r="422" spans="1:3" x14ac:dyDescent="0.35">
      <c r="A422" t="s">
        <v>148</v>
      </c>
      <c r="B422" t="s">
        <v>8</v>
      </c>
      <c r="C422">
        <v>4.2117921989999996</v>
      </c>
    </row>
    <row r="423" spans="1:3" x14ac:dyDescent="0.35">
      <c r="A423" t="s">
        <v>148</v>
      </c>
      <c r="B423" t="s">
        <v>9</v>
      </c>
      <c r="C423">
        <v>3.7203843390000002</v>
      </c>
    </row>
    <row r="424" spans="1:3" x14ac:dyDescent="0.35">
      <c r="A424" t="s">
        <v>148</v>
      </c>
      <c r="B424" t="s">
        <v>10</v>
      </c>
      <c r="C424">
        <v>3.1953233559999998</v>
      </c>
    </row>
    <row r="425" spans="1:3" x14ac:dyDescent="0.35">
      <c r="A425" t="s">
        <v>148</v>
      </c>
      <c r="B425" t="s">
        <v>11</v>
      </c>
      <c r="C425">
        <v>2.9876288729999998</v>
      </c>
    </row>
    <row r="426" spans="1:3" x14ac:dyDescent="0.35">
      <c r="A426" t="s">
        <v>148</v>
      </c>
      <c r="B426" t="s">
        <v>12</v>
      </c>
      <c r="C426">
        <v>3.0447524939999999</v>
      </c>
    </row>
    <row r="427" spans="1:3" x14ac:dyDescent="0.35">
      <c r="A427" t="s">
        <v>148</v>
      </c>
      <c r="B427" t="s">
        <v>13</v>
      </c>
      <c r="C427">
        <v>3.0746296000000002</v>
      </c>
    </row>
    <row r="428" spans="1:3" x14ac:dyDescent="0.35">
      <c r="A428" t="s">
        <v>148</v>
      </c>
      <c r="B428" t="s">
        <v>14</v>
      </c>
      <c r="C428">
        <v>3.0615355260000001</v>
      </c>
    </row>
    <row r="429" spans="1:3" x14ac:dyDescent="0.35">
      <c r="A429" t="s">
        <v>148</v>
      </c>
      <c r="B429" t="s">
        <v>15</v>
      </c>
      <c r="C429">
        <v>3.0332157990000002</v>
      </c>
    </row>
    <row r="430" spans="1:3" x14ac:dyDescent="0.35">
      <c r="A430" t="s">
        <v>148</v>
      </c>
      <c r="B430" t="s">
        <v>16</v>
      </c>
      <c r="C430">
        <v>2.9724379669999998</v>
      </c>
    </row>
    <row r="431" spans="1:3" x14ac:dyDescent="0.35">
      <c r="A431" t="s">
        <v>148</v>
      </c>
      <c r="B431" t="s">
        <v>17</v>
      </c>
      <c r="C431">
        <v>2.922492965</v>
      </c>
    </row>
    <row r="432" spans="1:3" x14ac:dyDescent="0.35">
      <c r="A432" t="s">
        <v>148</v>
      </c>
      <c r="B432" t="s">
        <v>18</v>
      </c>
      <c r="C432">
        <v>2.8511103819999999</v>
      </c>
    </row>
    <row r="433" spans="1:3" x14ac:dyDescent="0.35">
      <c r="A433" t="s">
        <v>148</v>
      </c>
      <c r="B433" t="s">
        <v>19</v>
      </c>
      <c r="C433">
        <v>2.8186613739999999</v>
      </c>
    </row>
    <row r="434" spans="1:3" x14ac:dyDescent="0.35">
      <c r="A434" t="s">
        <v>148</v>
      </c>
      <c r="B434" t="s">
        <v>20</v>
      </c>
      <c r="C434">
        <v>2.8127976559999999</v>
      </c>
    </row>
    <row r="435" spans="1:3" x14ac:dyDescent="0.35">
      <c r="A435" t="s">
        <v>148</v>
      </c>
      <c r="B435" t="s">
        <v>21</v>
      </c>
      <c r="C435">
        <v>2.8205246210000001</v>
      </c>
    </row>
    <row r="436" spans="1:3" x14ac:dyDescent="0.35">
      <c r="A436" t="s">
        <v>148</v>
      </c>
      <c r="B436" t="s">
        <v>22</v>
      </c>
      <c r="C436">
        <v>2.8371817519999998</v>
      </c>
    </row>
    <row r="437" spans="1:3" x14ac:dyDescent="0.35">
      <c r="A437" t="s">
        <v>148</v>
      </c>
      <c r="B437" t="s">
        <v>23</v>
      </c>
      <c r="C437">
        <v>2.8361515709999998</v>
      </c>
    </row>
    <row r="438" spans="1:3" x14ac:dyDescent="0.35">
      <c r="A438" t="s">
        <v>148</v>
      </c>
      <c r="B438" t="s">
        <v>24</v>
      </c>
      <c r="C438">
        <v>2.850527391</v>
      </c>
    </row>
    <row r="439" spans="1:3" x14ac:dyDescent="0.35">
      <c r="A439" t="s">
        <v>148</v>
      </c>
      <c r="B439" t="s">
        <v>25</v>
      </c>
      <c r="C439">
        <v>2.7805866469999998</v>
      </c>
    </row>
    <row r="440" spans="1:3" x14ac:dyDescent="0.35">
      <c r="A440" t="s">
        <v>149</v>
      </c>
      <c r="B440" t="s">
        <v>79</v>
      </c>
      <c r="C440">
        <v>290.83999999999997</v>
      </c>
    </row>
    <row r="441" spans="1:3" x14ac:dyDescent="0.35">
      <c r="A441" t="s">
        <v>149</v>
      </c>
      <c r="B441" t="s">
        <v>80</v>
      </c>
      <c r="C441">
        <v>310.977755</v>
      </c>
    </row>
    <row r="442" spans="1:3" x14ac:dyDescent="0.35">
      <c r="A442" t="s">
        <v>149</v>
      </c>
      <c r="B442" t="s">
        <v>81</v>
      </c>
      <c r="C442">
        <v>263.107056</v>
      </c>
    </row>
    <row r="443" spans="1:3" x14ac:dyDescent="0.35">
      <c r="A443" t="s">
        <v>149</v>
      </c>
      <c r="B443" t="s">
        <v>82</v>
      </c>
      <c r="C443">
        <v>279.28384599999998</v>
      </c>
    </row>
    <row r="444" spans="1:3" x14ac:dyDescent="0.35">
      <c r="A444" t="s">
        <v>149</v>
      </c>
      <c r="B444" t="s">
        <v>83</v>
      </c>
      <c r="C444">
        <v>296.90782999999999</v>
      </c>
    </row>
    <row r="445" spans="1:3" x14ac:dyDescent="0.35">
      <c r="A445" t="s">
        <v>149</v>
      </c>
      <c r="B445" t="s">
        <v>84</v>
      </c>
      <c r="C445">
        <v>302.59850699999998</v>
      </c>
    </row>
    <row r="446" spans="1:3" x14ac:dyDescent="0.35">
      <c r="A446" t="s">
        <v>149</v>
      </c>
      <c r="B446" t="s">
        <v>85</v>
      </c>
      <c r="C446">
        <v>306.34029099999998</v>
      </c>
    </row>
    <row r="447" spans="1:3" x14ac:dyDescent="0.35">
      <c r="A447" t="s">
        <v>149</v>
      </c>
      <c r="B447" t="s">
        <v>86</v>
      </c>
      <c r="C447">
        <v>311.12984799999998</v>
      </c>
    </row>
    <row r="448" spans="1:3" x14ac:dyDescent="0.35">
      <c r="A448" t="s">
        <v>149</v>
      </c>
      <c r="B448" t="s">
        <v>87</v>
      </c>
      <c r="C448">
        <v>316.85687899999999</v>
      </c>
    </row>
    <row r="449" spans="1:3" x14ac:dyDescent="0.35">
      <c r="A449" t="s">
        <v>149</v>
      </c>
      <c r="B449" t="s">
        <v>88</v>
      </c>
      <c r="C449">
        <v>323.353565</v>
      </c>
    </row>
    <row r="450" spans="1:3" x14ac:dyDescent="0.35">
      <c r="A450" t="s">
        <v>149</v>
      </c>
      <c r="B450" t="s">
        <v>89</v>
      </c>
      <c r="C450">
        <v>329.535349</v>
      </c>
    </row>
    <row r="451" spans="1:3" x14ac:dyDescent="0.35">
      <c r="A451" t="s">
        <v>149</v>
      </c>
      <c r="B451" t="s">
        <v>90</v>
      </c>
      <c r="C451">
        <v>335.70624099999998</v>
      </c>
    </row>
    <row r="452" spans="1:3" x14ac:dyDescent="0.35">
      <c r="A452" t="s">
        <v>149</v>
      </c>
      <c r="B452" t="s">
        <v>91</v>
      </c>
      <c r="C452">
        <v>341.43751600000002</v>
      </c>
    </row>
    <row r="453" spans="1:3" x14ac:dyDescent="0.35">
      <c r="A453" t="s">
        <v>149</v>
      </c>
      <c r="B453" t="s">
        <v>92</v>
      </c>
      <c r="C453">
        <v>347.24930000000001</v>
      </c>
    </row>
    <row r="454" spans="1:3" x14ac:dyDescent="0.35">
      <c r="A454" t="s">
        <v>149</v>
      </c>
      <c r="B454" t="s">
        <v>93</v>
      </c>
      <c r="C454">
        <v>352.52330899999998</v>
      </c>
    </row>
    <row r="455" spans="1:3" x14ac:dyDescent="0.35">
      <c r="A455" t="s">
        <v>149</v>
      </c>
      <c r="B455" t="s">
        <v>94</v>
      </c>
      <c r="C455">
        <v>356.99577199999999</v>
      </c>
    </row>
    <row r="456" spans="1:3" x14ac:dyDescent="0.35">
      <c r="A456" t="s">
        <v>149</v>
      </c>
      <c r="B456" t="s">
        <v>95</v>
      </c>
      <c r="C456">
        <v>360.877634</v>
      </c>
    </row>
    <row r="457" spans="1:3" x14ac:dyDescent="0.35">
      <c r="A457" t="s">
        <v>149</v>
      </c>
      <c r="B457" t="s">
        <v>96</v>
      </c>
      <c r="C457">
        <v>364.24172199999998</v>
      </c>
    </row>
    <row r="458" spans="1:3" x14ac:dyDescent="0.35">
      <c r="A458" t="s">
        <v>149</v>
      </c>
      <c r="B458" t="s">
        <v>97</v>
      </c>
      <c r="C458">
        <v>367.12964699999998</v>
      </c>
    </row>
    <row r="459" spans="1:3" x14ac:dyDescent="0.35">
      <c r="A459" t="s">
        <v>149</v>
      </c>
      <c r="B459" t="s">
        <v>98</v>
      </c>
      <c r="C459">
        <v>369.26654500000001</v>
      </c>
    </row>
    <row r="460" spans="1:3" x14ac:dyDescent="0.35">
      <c r="A460" t="s">
        <v>149</v>
      </c>
      <c r="B460" t="s">
        <v>99</v>
      </c>
      <c r="C460">
        <v>370.92641099999997</v>
      </c>
    </row>
    <row r="461" spans="1:3" x14ac:dyDescent="0.35">
      <c r="A461" t="s">
        <v>149</v>
      </c>
      <c r="B461" t="s">
        <v>100</v>
      </c>
      <c r="C461">
        <v>372.71173199999998</v>
      </c>
    </row>
    <row r="462" spans="1:3" x14ac:dyDescent="0.35">
      <c r="A462" t="s">
        <v>149</v>
      </c>
      <c r="B462" t="s">
        <v>4</v>
      </c>
      <c r="C462">
        <v>391.23333300000002</v>
      </c>
    </row>
    <row r="463" spans="1:3" x14ac:dyDescent="0.35">
      <c r="A463" t="s">
        <v>149</v>
      </c>
      <c r="B463" t="s">
        <v>5</v>
      </c>
      <c r="C463">
        <v>393.79151899999999</v>
      </c>
    </row>
    <row r="464" spans="1:3" x14ac:dyDescent="0.35">
      <c r="A464" t="s">
        <v>149</v>
      </c>
      <c r="B464" t="s">
        <v>6</v>
      </c>
      <c r="C464">
        <v>402.16483799999997</v>
      </c>
    </row>
    <row r="465" spans="1:3" x14ac:dyDescent="0.35">
      <c r="A465" t="s">
        <v>149</v>
      </c>
      <c r="B465" t="s">
        <v>7</v>
      </c>
      <c r="C465">
        <v>406.43234200000001</v>
      </c>
    </row>
    <row r="466" spans="1:3" x14ac:dyDescent="0.35">
      <c r="A466" t="s">
        <v>149</v>
      </c>
      <c r="B466" t="s">
        <v>8</v>
      </c>
      <c r="C466">
        <v>407.71126800000002</v>
      </c>
    </row>
    <row r="467" spans="1:3" x14ac:dyDescent="0.35">
      <c r="A467" t="s">
        <v>149</v>
      </c>
      <c r="B467" t="s">
        <v>9</v>
      </c>
      <c r="C467">
        <v>408.44207699999998</v>
      </c>
    </row>
    <row r="468" spans="1:3" x14ac:dyDescent="0.35">
      <c r="A468" t="s">
        <v>149</v>
      </c>
      <c r="B468" t="s">
        <v>10</v>
      </c>
      <c r="C468">
        <v>415.01530500000001</v>
      </c>
    </row>
    <row r="469" spans="1:3" x14ac:dyDescent="0.35">
      <c r="A469" t="s">
        <v>149</v>
      </c>
      <c r="B469" t="s">
        <v>11</v>
      </c>
      <c r="C469">
        <v>418.57503200000002</v>
      </c>
    </row>
    <row r="470" spans="1:3" x14ac:dyDescent="0.35">
      <c r="A470" t="s">
        <v>149</v>
      </c>
      <c r="B470" t="s">
        <v>12</v>
      </c>
      <c r="C470">
        <v>420.125067</v>
      </c>
    </row>
    <row r="471" spans="1:3" x14ac:dyDescent="0.35">
      <c r="A471" t="s">
        <v>149</v>
      </c>
      <c r="B471" t="s">
        <v>13</v>
      </c>
      <c r="C471">
        <v>421.000158</v>
      </c>
    </row>
    <row r="472" spans="1:3" x14ac:dyDescent="0.35">
      <c r="A472" t="s">
        <v>149</v>
      </c>
      <c r="B472" t="s">
        <v>14</v>
      </c>
      <c r="C472">
        <v>427.72114599999998</v>
      </c>
    </row>
    <row r="473" spans="1:3" x14ac:dyDescent="0.35">
      <c r="A473" t="s">
        <v>149</v>
      </c>
      <c r="B473" t="s">
        <v>15</v>
      </c>
      <c r="C473">
        <v>431.27131600000001</v>
      </c>
    </row>
    <row r="474" spans="1:3" x14ac:dyDescent="0.35">
      <c r="A474" t="s">
        <v>149</v>
      </c>
      <c r="B474" t="s">
        <v>16</v>
      </c>
      <c r="C474">
        <v>432.613024</v>
      </c>
    </row>
    <row r="475" spans="1:3" x14ac:dyDescent="0.35">
      <c r="A475" t="s">
        <v>149</v>
      </c>
      <c r="B475" t="s">
        <v>17</v>
      </c>
      <c r="C475">
        <v>433.30385799999999</v>
      </c>
    </row>
    <row r="476" spans="1:3" x14ac:dyDescent="0.35">
      <c r="A476" t="s">
        <v>149</v>
      </c>
      <c r="B476" t="s">
        <v>18</v>
      </c>
      <c r="C476">
        <v>439.91594800000001</v>
      </c>
    </row>
    <row r="477" spans="1:3" x14ac:dyDescent="0.35">
      <c r="A477" t="s">
        <v>149</v>
      </c>
      <c r="B477" t="s">
        <v>19</v>
      </c>
      <c r="C477">
        <v>443.42739399999999</v>
      </c>
    </row>
    <row r="478" spans="1:3" x14ac:dyDescent="0.35">
      <c r="A478" t="s">
        <v>149</v>
      </c>
      <c r="B478" t="s">
        <v>20</v>
      </c>
      <c r="C478">
        <v>444.78155299999997</v>
      </c>
    </row>
    <row r="479" spans="1:3" x14ac:dyDescent="0.35">
      <c r="A479" t="s">
        <v>149</v>
      </c>
      <c r="B479" t="s">
        <v>21</v>
      </c>
      <c r="C479">
        <v>445.52530000000002</v>
      </c>
    </row>
    <row r="480" spans="1:3" x14ac:dyDescent="0.35">
      <c r="A480" t="s">
        <v>149</v>
      </c>
      <c r="B480" t="s">
        <v>22</v>
      </c>
      <c r="C480">
        <v>452.39716299999998</v>
      </c>
    </row>
    <row r="481" spans="1:3" x14ac:dyDescent="0.35">
      <c r="A481" t="s">
        <v>149</v>
      </c>
      <c r="B481" t="s">
        <v>23</v>
      </c>
      <c r="C481">
        <v>456.00366700000001</v>
      </c>
    </row>
    <row r="482" spans="1:3" x14ac:dyDescent="0.35">
      <c r="A482" t="s">
        <v>149</v>
      </c>
      <c r="B482" t="s">
        <v>24</v>
      </c>
      <c r="C482">
        <v>457.460173</v>
      </c>
    </row>
    <row r="483" spans="1:3" x14ac:dyDescent="0.35">
      <c r="A483" t="s">
        <v>149</v>
      </c>
      <c r="B483" t="s">
        <v>25</v>
      </c>
      <c r="C483">
        <v>457.91351700000001</v>
      </c>
    </row>
    <row r="484" spans="1:3" x14ac:dyDescent="0.35">
      <c r="A484" t="s">
        <v>150</v>
      </c>
      <c r="B484" t="s">
        <v>29</v>
      </c>
      <c r="C484">
        <v>4.2316566680000003</v>
      </c>
    </row>
    <row r="485" spans="1:3" x14ac:dyDescent="0.35">
      <c r="A485" t="s">
        <v>150</v>
      </c>
      <c r="B485" t="s">
        <v>30</v>
      </c>
      <c r="C485">
        <v>0.38659227699999998</v>
      </c>
    </row>
    <row r="486" spans="1:3" x14ac:dyDescent="0.35">
      <c r="A486" t="s">
        <v>150</v>
      </c>
      <c r="B486" t="s">
        <v>31</v>
      </c>
      <c r="C486">
        <v>2.3579570169999999</v>
      </c>
    </row>
    <row r="487" spans="1:3" x14ac:dyDescent="0.35">
      <c r="A487" t="s">
        <v>150</v>
      </c>
      <c r="B487" t="s">
        <v>32</v>
      </c>
      <c r="C487">
        <v>-0.87316366599999995</v>
      </c>
    </row>
    <row r="488" spans="1:3" x14ac:dyDescent="0.35">
      <c r="A488" t="s">
        <v>150</v>
      </c>
      <c r="B488" t="s">
        <v>33</v>
      </c>
      <c r="C488">
        <v>14.769557710000001</v>
      </c>
    </row>
    <row r="489" spans="1:3" x14ac:dyDescent="0.35">
      <c r="A489" t="s">
        <v>150</v>
      </c>
      <c r="B489" t="s">
        <v>34</v>
      </c>
      <c r="C489">
        <v>19.911601243</v>
      </c>
    </row>
    <row r="490" spans="1:3" x14ac:dyDescent="0.35">
      <c r="A490" t="s">
        <v>150</v>
      </c>
      <c r="B490" t="s">
        <v>35</v>
      </c>
      <c r="C490">
        <v>25.055253315000002</v>
      </c>
    </row>
    <row r="491" spans="1:3" x14ac:dyDescent="0.35">
      <c r="A491" t="s">
        <v>150</v>
      </c>
      <c r="B491" t="s">
        <v>36</v>
      </c>
      <c r="C491">
        <v>29.853051682</v>
      </c>
    </row>
    <row r="492" spans="1:3" x14ac:dyDescent="0.35">
      <c r="A492" t="s">
        <v>150</v>
      </c>
      <c r="B492" t="s">
        <v>37</v>
      </c>
      <c r="C492">
        <v>20.113412798999999</v>
      </c>
    </row>
    <row r="493" spans="1:3" x14ac:dyDescent="0.35">
      <c r="A493" t="s">
        <v>150</v>
      </c>
      <c r="B493" t="s">
        <v>38</v>
      </c>
      <c r="C493">
        <v>11.043392577000001</v>
      </c>
    </row>
    <row r="494" spans="1:3" x14ac:dyDescent="0.35">
      <c r="A494" t="s">
        <v>150</v>
      </c>
      <c r="B494" t="s">
        <v>39</v>
      </c>
      <c r="C494">
        <v>0.710328654</v>
      </c>
    </row>
    <row r="495" spans="1:3" x14ac:dyDescent="0.35">
      <c r="A495" t="s">
        <v>150</v>
      </c>
      <c r="B495" t="s">
        <v>40</v>
      </c>
      <c r="C495">
        <v>-7.5357659540000004</v>
      </c>
    </row>
    <row r="496" spans="1:3" x14ac:dyDescent="0.35">
      <c r="A496" t="s">
        <v>150</v>
      </c>
      <c r="B496" t="s">
        <v>41</v>
      </c>
      <c r="C496">
        <v>-2.3348427919999999</v>
      </c>
    </row>
    <row r="497" spans="1:3" x14ac:dyDescent="0.35">
      <c r="A497" t="s">
        <v>150</v>
      </c>
      <c r="B497" t="s">
        <v>42</v>
      </c>
      <c r="C497">
        <v>3.503467315</v>
      </c>
    </row>
    <row r="498" spans="1:3" x14ac:dyDescent="0.35">
      <c r="A498" t="s">
        <v>150</v>
      </c>
      <c r="B498" t="s">
        <v>43</v>
      </c>
      <c r="C498">
        <v>7.7652537800000001</v>
      </c>
    </row>
    <row r="499" spans="1:3" x14ac:dyDescent="0.35">
      <c r="A499" t="s">
        <v>150</v>
      </c>
      <c r="B499" t="s">
        <v>44</v>
      </c>
      <c r="C499">
        <v>34.616320711999997</v>
      </c>
    </row>
    <row r="500" spans="1:3" x14ac:dyDescent="0.35">
      <c r="A500" t="s">
        <v>150</v>
      </c>
      <c r="B500" t="s">
        <v>45</v>
      </c>
      <c r="C500">
        <v>-13.04505097</v>
      </c>
    </row>
    <row r="501" spans="1:3" x14ac:dyDescent="0.35">
      <c r="A501" t="s">
        <v>150</v>
      </c>
      <c r="B501" t="s">
        <v>46</v>
      </c>
      <c r="C501">
        <v>-7.87794113</v>
      </c>
    </row>
    <row r="502" spans="1:3" x14ac:dyDescent="0.35">
      <c r="A502" t="s">
        <v>150</v>
      </c>
      <c r="B502" t="s">
        <v>47</v>
      </c>
      <c r="C502">
        <v>-8.9468574830000005</v>
      </c>
    </row>
    <row r="503" spans="1:3" x14ac:dyDescent="0.35">
      <c r="A503" t="s">
        <v>150</v>
      </c>
      <c r="B503" t="s">
        <v>48</v>
      </c>
      <c r="C503">
        <v>-20.701500632999998</v>
      </c>
    </row>
    <row r="504" spans="1:3" x14ac:dyDescent="0.35">
      <c r="A504" t="s">
        <v>150</v>
      </c>
      <c r="B504" t="s">
        <v>49</v>
      </c>
      <c r="C504">
        <v>16.650909503000001</v>
      </c>
    </row>
    <row r="505" spans="1:3" x14ac:dyDescent="0.35">
      <c r="A505" t="s">
        <v>150</v>
      </c>
      <c r="B505" t="s">
        <v>50</v>
      </c>
      <c r="C505">
        <v>5.7769198949999998</v>
      </c>
    </row>
    <row r="506" spans="1:3" x14ac:dyDescent="0.35">
      <c r="A506" t="s">
        <v>150</v>
      </c>
      <c r="B506" t="s">
        <v>51</v>
      </c>
      <c r="C506">
        <v>3.5252441879999998</v>
      </c>
    </row>
    <row r="507" spans="1:3" x14ac:dyDescent="0.35">
      <c r="A507" t="s">
        <v>150</v>
      </c>
      <c r="B507" t="s">
        <v>52</v>
      </c>
      <c r="C507">
        <v>-5.1788157119999996</v>
      </c>
    </row>
    <row r="508" spans="1:3" x14ac:dyDescent="0.35">
      <c r="A508" t="s">
        <v>150</v>
      </c>
      <c r="B508" t="s">
        <v>53</v>
      </c>
      <c r="C508">
        <v>-2.697270311</v>
      </c>
    </row>
    <row r="509" spans="1:3" x14ac:dyDescent="0.35">
      <c r="A509" t="s">
        <v>150</v>
      </c>
      <c r="B509" t="s">
        <v>54</v>
      </c>
      <c r="C509">
        <v>-2.538451512</v>
      </c>
    </row>
    <row r="510" spans="1:3" x14ac:dyDescent="0.35">
      <c r="A510" t="s">
        <v>150</v>
      </c>
      <c r="B510" t="s">
        <v>55</v>
      </c>
      <c r="C510">
        <v>-0.647819009</v>
      </c>
    </row>
    <row r="511" spans="1:3" x14ac:dyDescent="0.35">
      <c r="A511" t="s">
        <v>150</v>
      </c>
      <c r="B511" t="s">
        <v>56</v>
      </c>
      <c r="C511">
        <v>0.41907117300000002</v>
      </c>
    </row>
    <row r="512" spans="1:3" x14ac:dyDescent="0.35">
      <c r="A512" t="s">
        <v>150</v>
      </c>
      <c r="B512" t="s">
        <v>57</v>
      </c>
      <c r="C512">
        <v>-1.75917905</v>
      </c>
    </row>
    <row r="513" spans="1:3" x14ac:dyDescent="0.35">
      <c r="A513" t="s">
        <v>150</v>
      </c>
      <c r="B513" t="s">
        <v>58</v>
      </c>
      <c r="C513">
        <v>-1.5814637730000001</v>
      </c>
    </row>
    <row r="514" spans="1:3" x14ac:dyDescent="0.35">
      <c r="A514" t="s">
        <v>150</v>
      </c>
      <c r="B514" t="s">
        <v>59</v>
      </c>
      <c r="C514">
        <v>-1.324149</v>
      </c>
    </row>
    <row r="515" spans="1:3" x14ac:dyDescent="0.35">
      <c r="A515" t="s">
        <v>150</v>
      </c>
      <c r="B515" t="s">
        <v>60</v>
      </c>
      <c r="C515">
        <v>-2.2268591369999999</v>
      </c>
    </row>
    <row r="516" spans="1:3" x14ac:dyDescent="0.35">
      <c r="A516" t="s">
        <v>150</v>
      </c>
      <c r="B516" t="s">
        <v>61</v>
      </c>
      <c r="C516">
        <v>-47.585294716</v>
      </c>
    </row>
    <row r="517" spans="1:3" x14ac:dyDescent="0.35">
      <c r="A517" t="s">
        <v>150</v>
      </c>
      <c r="B517" t="s">
        <v>62</v>
      </c>
      <c r="C517">
        <v>-15.433482809999999</v>
      </c>
    </row>
    <row r="518" spans="1:3" x14ac:dyDescent="0.35">
      <c r="A518" t="s">
        <v>150</v>
      </c>
      <c r="B518" t="s">
        <v>63</v>
      </c>
      <c r="C518">
        <v>18.092172144999999</v>
      </c>
    </row>
    <row r="519" spans="1:3" x14ac:dyDescent="0.35">
      <c r="A519" t="s">
        <v>150</v>
      </c>
      <c r="B519" t="s">
        <v>64</v>
      </c>
      <c r="C519">
        <v>53.577301192999997</v>
      </c>
    </row>
    <row r="520" spans="1:3" x14ac:dyDescent="0.35">
      <c r="A520" t="s">
        <v>150</v>
      </c>
      <c r="B520" t="s">
        <v>65</v>
      </c>
      <c r="C520">
        <v>185.73924296300001</v>
      </c>
    </row>
    <row r="521" spans="1:3" x14ac:dyDescent="0.35">
      <c r="A521" t="s">
        <v>150</v>
      </c>
      <c r="B521" t="s">
        <v>66</v>
      </c>
      <c r="C521">
        <v>33.836821596</v>
      </c>
    </row>
    <row r="522" spans="1:3" x14ac:dyDescent="0.35">
      <c r="A522" t="s">
        <v>150</v>
      </c>
      <c r="B522" t="s">
        <v>67</v>
      </c>
      <c r="C522">
        <v>-22.755315791000001</v>
      </c>
    </row>
    <row r="523" spans="1:3" x14ac:dyDescent="0.35">
      <c r="A523" t="s">
        <v>150</v>
      </c>
      <c r="B523" t="s">
        <v>68</v>
      </c>
      <c r="C523">
        <v>-24.393466524000001</v>
      </c>
    </row>
    <row r="524" spans="1:3" x14ac:dyDescent="0.35">
      <c r="A524" t="s">
        <v>150</v>
      </c>
      <c r="B524" t="s">
        <v>69</v>
      </c>
      <c r="C524">
        <v>-28.156065305999999</v>
      </c>
    </row>
    <row r="525" spans="1:3" x14ac:dyDescent="0.35">
      <c r="A525" t="s">
        <v>150</v>
      </c>
      <c r="B525" t="s">
        <v>70</v>
      </c>
      <c r="C525">
        <v>-7.5549285629999998</v>
      </c>
    </row>
    <row r="526" spans="1:3" x14ac:dyDescent="0.35">
      <c r="A526" t="s">
        <v>150</v>
      </c>
      <c r="B526" t="s">
        <v>71</v>
      </c>
      <c r="C526">
        <v>14.350458784000001</v>
      </c>
    </row>
    <row r="527" spans="1:3" x14ac:dyDescent="0.35">
      <c r="A527" t="s">
        <v>150</v>
      </c>
      <c r="B527" t="s">
        <v>72</v>
      </c>
      <c r="C527">
        <v>-16.975503931999999</v>
      </c>
    </row>
    <row r="528" spans="1:3" x14ac:dyDescent="0.35">
      <c r="A528" t="s">
        <v>150</v>
      </c>
      <c r="B528" t="s">
        <v>73</v>
      </c>
      <c r="C528">
        <v>-22.750338828</v>
      </c>
    </row>
    <row r="529" spans="1:3" x14ac:dyDescent="0.35">
      <c r="A529" t="s">
        <v>150</v>
      </c>
      <c r="B529" t="s">
        <v>74</v>
      </c>
      <c r="C529">
        <v>-16.698594109999998</v>
      </c>
    </row>
    <row r="530" spans="1:3" x14ac:dyDescent="0.35">
      <c r="A530" t="s">
        <v>150</v>
      </c>
      <c r="B530" t="s">
        <v>75</v>
      </c>
      <c r="C530">
        <v>-20.037684361</v>
      </c>
    </row>
    <row r="531" spans="1:3" x14ac:dyDescent="0.35">
      <c r="A531" t="s">
        <v>150</v>
      </c>
      <c r="B531" t="s">
        <v>76</v>
      </c>
      <c r="C531">
        <v>-7.987661042</v>
      </c>
    </row>
    <row r="532" spans="1:3" x14ac:dyDescent="0.35">
      <c r="A532" t="s">
        <v>150</v>
      </c>
      <c r="B532" t="s">
        <v>77</v>
      </c>
      <c r="C532">
        <v>11.587580073</v>
      </c>
    </row>
    <row r="533" spans="1:3" x14ac:dyDescent="0.35">
      <c r="A533" t="s">
        <v>150</v>
      </c>
      <c r="B533" t="s">
        <v>78</v>
      </c>
      <c r="C533">
        <v>7.397879638</v>
      </c>
    </row>
    <row r="534" spans="1:3" x14ac:dyDescent="0.35">
      <c r="A534" t="s">
        <v>150</v>
      </c>
      <c r="B534" t="s">
        <v>79</v>
      </c>
      <c r="C534">
        <v>18.160396521999999</v>
      </c>
    </row>
    <row r="535" spans="1:3" x14ac:dyDescent="0.35">
      <c r="A535" t="s">
        <v>150</v>
      </c>
      <c r="B535" t="s">
        <v>80</v>
      </c>
      <c r="C535">
        <v>-13.51791946</v>
      </c>
    </row>
    <row r="536" spans="1:3" x14ac:dyDescent="0.35">
      <c r="A536" t="s">
        <v>150</v>
      </c>
      <c r="B536" t="s">
        <v>81</v>
      </c>
      <c r="C536">
        <v>-18.278547662000001</v>
      </c>
    </row>
    <row r="537" spans="1:3" x14ac:dyDescent="0.35">
      <c r="A537" t="s">
        <v>150</v>
      </c>
      <c r="B537" t="s">
        <v>82</v>
      </c>
      <c r="C537">
        <v>-18.535723669999999</v>
      </c>
    </row>
    <row r="538" spans="1:3" x14ac:dyDescent="0.35">
      <c r="A538" t="s">
        <v>150</v>
      </c>
      <c r="B538" t="s">
        <v>83</v>
      </c>
      <c r="C538">
        <v>-21.950213175999998</v>
      </c>
    </row>
    <row r="539" spans="1:3" x14ac:dyDescent="0.35">
      <c r="A539" t="s">
        <v>150</v>
      </c>
      <c r="B539" t="s">
        <v>84</v>
      </c>
      <c r="C539">
        <v>5.3207658779999996</v>
      </c>
    </row>
    <row r="540" spans="1:3" x14ac:dyDescent="0.35">
      <c r="A540" t="s">
        <v>150</v>
      </c>
      <c r="B540" t="s">
        <v>85</v>
      </c>
      <c r="C540">
        <v>5.1155852350000002</v>
      </c>
    </row>
    <row r="541" spans="1:3" x14ac:dyDescent="0.35">
      <c r="A541" t="s">
        <v>150</v>
      </c>
      <c r="B541" t="s">
        <v>86</v>
      </c>
      <c r="C541">
        <v>5.2420549369999998</v>
      </c>
    </row>
    <row r="542" spans="1:3" x14ac:dyDescent="0.35">
      <c r="A542" t="s">
        <v>150</v>
      </c>
      <c r="B542" t="s">
        <v>87</v>
      </c>
      <c r="C542">
        <v>5.1248163</v>
      </c>
    </row>
    <row r="543" spans="1:3" x14ac:dyDescent="0.35">
      <c r="A543" t="s">
        <v>150</v>
      </c>
      <c r="B543" t="s">
        <v>88</v>
      </c>
      <c r="C543">
        <v>3.7384529500000001</v>
      </c>
    </row>
    <row r="544" spans="1:3" x14ac:dyDescent="0.35">
      <c r="A544" t="s">
        <v>150</v>
      </c>
      <c r="B544" t="s">
        <v>89</v>
      </c>
      <c r="C544">
        <v>3.1072644770000002</v>
      </c>
    </row>
    <row r="545" spans="1:3" x14ac:dyDescent="0.35">
      <c r="A545" t="s">
        <v>150</v>
      </c>
      <c r="B545" t="s">
        <v>90</v>
      </c>
      <c r="C545">
        <v>2.9067307790000001</v>
      </c>
    </row>
    <row r="546" spans="1:3" x14ac:dyDescent="0.35">
      <c r="A546" t="s">
        <v>150</v>
      </c>
      <c r="B546" t="s">
        <v>91</v>
      </c>
      <c r="C546">
        <v>3.0870234710000002</v>
      </c>
    </row>
    <row r="547" spans="1:3" x14ac:dyDescent="0.35">
      <c r="A547" t="s">
        <v>150</v>
      </c>
      <c r="B547" t="s">
        <v>92</v>
      </c>
      <c r="C547">
        <v>3.255878665</v>
      </c>
    </row>
    <row r="548" spans="1:3" x14ac:dyDescent="0.35">
      <c r="A548" t="s">
        <v>150</v>
      </c>
      <c r="B548" t="s">
        <v>93</v>
      </c>
      <c r="C548">
        <v>3.0961882529999998</v>
      </c>
    </row>
    <row r="549" spans="1:3" x14ac:dyDescent="0.35">
      <c r="A549" t="s">
        <v>150</v>
      </c>
      <c r="B549" t="s">
        <v>94</v>
      </c>
      <c r="C549">
        <v>3.1948445080000001</v>
      </c>
    </row>
    <row r="550" spans="1:3" x14ac:dyDescent="0.35">
      <c r="A550" t="s">
        <v>150</v>
      </c>
      <c r="B550" t="s">
        <v>95</v>
      </c>
      <c r="C550">
        <v>2.6287264229999998</v>
      </c>
    </row>
    <row r="551" spans="1:3" x14ac:dyDescent="0.35">
      <c r="A551" t="s">
        <v>150</v>
      </c>
      <c r="B551" t="s">
        <v>96</v>
      </c>
      <c r="C551">
        <v>2.6276782070000002</v>
      </c>
    </row>
    <row r="552" spans="1:3" x14ac:dyDescent="0.35">
      <c r="A552" t="s">
        <v>150</v>
      </c>
      <c r="B552" t="s">
        <v>97</v>
      </c>
      <c r="C552">
        <v>2.4959959989999998</v>
      </c>
    </row>
    <row r="553" spans="1:3" x14ac:dyDescent="0.35">
      <c r="A553" t="s">
        <v>150</v>
      </c>
      <c r="B553" t="s">
        <v>98</v>
      </c>
      <c r="C553">
        <v>2.3917087399999999</v>
      </c>
    </row>
    <row r="554" spans="1:3" x14ac:dyDescent="0.35">
      <c r="A554" t="s">
        <v>150</v>
      </c>
      <c r="B554" t="s">
        <v>99</v>
      </c>
      <c r="C554">
        <v>1.9672561369999999</v>
      </c>
    </row>
    <row r="555" spans="1:3" x14ac:dyDescent="0.35">
      <c r="A555" t="s">
        <v>150</v>
      </c>
      <c r="B555" t="s">
        <v>100</v>
      </c>
      <c r="C555">
        <v>0.99789902699999999</v>
      </c>
    </row>
    <row r="556" spans="1:3" x14ac:dyDescent="0.35">
      <c r="A556" t="s">
        <v>150</v>
      </c>
      <c r="B556" t="s">
        <v>101</v>
      </c>
      <c r="C556">
        <v>0.97668967200000001</v>
      </c>
    </row>
    <row r="557" spans="1:3" x14ac:dyDescent="0.35">
      <c r="A557" t="s">
        <v>150</v>
      </c>
      <c r="B557" t="s">
        <v>102</v>
      </c>
      <c r="C557">
        <v>0.96029042200000003</v>
      </c>
    </row>
    <row r="558" spans="1:3" x14ac:dyDescent="0.35">
      <c r="A558" t="s">
        <v>150</v>
      </c>
      <c r="B558" t="s">
        <v>103</v>
      </c>
      <c r="C558">
        <v>0.98407380700000002</v>
      </c>
    </row>
    <row r="559" spans="1:3" x14ac:dyDescent="0.35">
      <c r="A559" t="s">
        <v>150</v>
      </c>
      <c r="B559" t="s">
        <v>104</v>
      </c>
      <c r="C559">
        <v>1.3910557720000001</v>
      </c>
    </row>
    <row r="560" spans="1:3" x14ac:dyDescent="0.35">
      <c r="A560" t="s">
        <v>150</v>
      </c>
      <c r="B560" t="s">
        <v>105</v>
      </c>
      <c r="C560">
        <v>1.444415655</v>
      </c>
    </row>
    <row r="561" spans="1:3" x14ac:dyDescent="0.35">
      <c r="A561" t="s">
        <v>150</v>
      </c>
      <c r="B561" t="s">
        <v>106</v>
      </c>
      <c r="C561">
        <v>1.889460157</v>
      </c>
    </row>
    <row r="562" spans="1:3" x14ac:dyDescent="0.35">
      <c r="A562" t="s">
        <v>150</v>
      </c>
      <c r="B562" t="s">
        <v>107</v>
      </c>
      <c r="C562">
        <v>2.2438772889999998</v>
      </c>
    </row>
    <row r="563" spans="1:3" x14ac:dyDescent="0.35">
      <c r="A563" t="s">
        <v>150</v>
      </c>
      <c r="B563" t="s">
        <v>108</v>
      </c>
      <c r="C563">
        <v>2.9875622480000001</v>
      </c>
    </row>
    <row r="564" spans="1:3" x14ac:dyDescent="0.35">
      <c r="A564" t="s">
        <v>150</v>
      </c>
      <c r="B564" t="s">
        <v>109</v>
      </c>
      <c r="C564">
        <v>3.5596235699999998</v>
      </c>
    </row>
    <row r="565" spans="1:3" x14ac:dyDescent="0.35">
      <c r="A565" t="s">
        <v>150</v>
      </c>
      <c r="B565" t="s">
        <v>110</v>
      </c>
      <c r="C565">
        <v>3.7845338759999998</v>
      </c>
    </row>
    <row r="566" spans="1:3" x14ac:dyDescent="0.35">
      <c r="A566" t="s">
        <v>150</v>
      </c>
      <c r="B566" t="s">
        <v>111</v>
      </c>
      <c r="C566">
        <v>3.987960873</v>
      </c>
    </row>
    <row r="567" spans="1:3" x14ac:dyDescent="0.35">
      <c r="A567" t="s">
        <v>150</v>
      </c>
      <c r="B567" t="s">
        <v>112</v>
      </c>
      <c r="C567">
        <v>3.6354584210000001</v>
      </c>
    </row>
    <row r="568" spans="1:3" x14ac:dyDescent="0.35">
      <c r="A568" t="s">
        <v>150</v>
      </c>
      <c r="B568" t="s">
        <v>113</v>
      </c>
      <c r="C568">
        <v>3.351338084</v>
      </c>
    </row>
    <row r="569" spans="1:3" x14ac:dyDescent="0.35">
      <c r="A569" t="s">
        <v>150</v>
      </c>
      <c r="B569" t="s">
        <v>114</v>
      </c>
      <c r="C569">
        <v>3.318342049</v>
      </c>
    </row>
    <row r="570" spans="1:3" x14ac:dyDescent="0.35">
      <c r="A570" t="s">
        <v>150</v>
      </c>
      <c r="B570" t="s">
        <v>115</v>
      </c>
      <c r="C570">
        <v>3.0752532559999999</v>
      </c>
    </row>
    <row r="571" spans="1:3" x14ac:dyDescent="0.35">
      <c r="A571" t="s">
        <v>150</v>
      </c>
      <c r="B571" t="s">
        <v>116</v>
      </c>
      <c r="C571">
        <v>2.486785196</v>
      </c>
    </row>
    <row r="572" spans="1:3" x14ac:dyDescent="0.35">
      <c r="A572" t="s">
        <v>150</v>
      </c>
      <c r="B572" t="s">
        <v>117</v>
      </c>
      <c r="C572">
        <v>2.9813518270000001</v>
      </c>
    </row>
    <row r="573" spans="1:3" x14ac:dyDescent="0.35">
      <c r="A573" t="s">
        <v>150</v>
      </c>
      <c r="B573" t="s">
        <v>118</v>
      </c>
      <c r="C573">
        <v>2.611764709</v>
      </c>
    </row>
    <row r="574" spans="1:3" x14ac:dyDescent="0.35">
      <c r="A574" t="s">
        <v>150</v>
      </c>
      <c r="B574" t="s">
        <v>119</v>
      </c>
      <c r="C574">
        <v>2.1762021759999999</v>
      </c>
    </row>
    <row r="575" spans="1:3" x14ac:dyDescent="0.35">
      <c r="A575" t="s">
        <v>150</v>
      </c>
      <c r="B575" t="s">
        <v>120</v>
      </c>
      <c r="C575">
        <v>2.5905518669999998</v>
      </c>
    </row>
    <row r="576" spans="1:3" x14ac:dyDescent="0.35">
      <c r="A576" t="s">
        <v>150</v>
      </c>
      <c r="B576" t="s">
        <v>121</v>
      </c>
      <c r="C576">
        <v>1.211072664</v>
      </c>
    </row>
    <row r="577" spans="1:3" x14ac:dyDescent="0.35">
      <c r="A577" t="s">
        <v>150</v>
      </c>
      <c r="B577" t="s">
        <v>122</v>
      </c>
      <c r="C577">
        <v>1.100664986</v>
      </c>
    </row>
    <row r="578" spans="1:3" x14ac:dyDescent="0.35">
      <c r="A578" t="s">
        <v>150</v>
      </c>
      <c r="B578" t="s">
        <v>123</v>
      </c>
      <c r="C578">
        <v>1.1336310549999999</v>
      </c>
    </row>
    <row r="579" spans="1:3" x14ac:dyDescent="0.35">
      <c r="A579" t="s">
        <v>150</v>
      </c>
      <c r="B579" t="s">
        <v>124</v>
      </c>
      <c r="C579">
        <v>1.405393055</v>
      </c>
    </row>
    <row r="580" spans="1:3" x14ac:dyDescent="0.35">
      <c r="A580" t="s">
        <v>150</v>
      </c>
      <c r="B580" t="s">
        <v>125</v>
      </c>
      <c r="C580">
        <v>3.3618232479999999</v>
      </c>
    </row>
    <row r="581" spans="1:3" x14ac:dyDescent="0.35">
      <c r="A581" t="s">
        <v>150</v>
      </c>
      <c r="B581" t="s">
        <v>126</v>
      </c>
      <c r="C581">
        <v>4.5021549160000003</v>
      </c>
    </row>
    <row r="582" spans="1:3" x14ac:dyDescent="0.35">
      <c r="A582" t="s">
        <v>150</v>
      </c>
      <c r="B582" t="s">
        <v>127</v>
      </c>
      <c r="C582">
        <v>6.8840580840000003</v>
      </c>
    </row>
    <row r="583" spans="1:3" x14ac:dyDescent="0.35">
      <c r="A583" t="s">
        <v>150</v>
      </c>
      <c r="B583" t="s">
        <v>128</v>
      </c>
      <c r="C583">
        <v>8.3267607980000005</v>
      </c>
    </row>
    <row r="584" spans="1:3" x14ac:dyDescent="0.35">
      <c r="A584" t="s">
        <v>150</v>
      </c>
      <c r="B584" t="s">
        <v>129</v>
      </c>
      <c r="C584">
        <v>11.543550178</v>
      </c>
    </row>
    <row r="585" spans="1:3" x14ac:dyDescent="0.35">
      <c r="A585" t="s">
        <v>150</v>
      </c>
      <c r="B585" t="s">
        <v>130</v>
      </c>
      <c r="C585">
        <v>12.42539315</v>
      </c>
    </row>
    <row r="586" spans="1:3" x14ac:dyDescent="0.35">
      <c r="A586" t="s">
        <v>150</v>
      </c>
      <c r="B586" t="s">
        <v>131</v>
      </c>
      <c r="C586">
        <v>13.866525303</v>
      </c>
    </row>
    <row r="587" spans="1:3" x14ac:dyDescent="0.35">
      <c r="A587" t="s">
        <v>150</v>
      </c>
      <c r="B587" t="s">
        <v>132</v>
      </c>
      <c r="C587">
        <v>13.584356029</v>
      </c>
    </row>
    <row r="588" spans="1:3" x14ac:dyDescent="0.35">
      <c r="A588" t="s">
        <v>150</v>
      </c>
      <c r="B588" t="s">
        <v>133</v>
      </c>
      <c r="C588">
        <v>11.149550272999999</v>
      </c>
    </row>
    <row r="589" spans="1:3" x14ac:dyDescent="0.35">
      <c r="A589" t="s">
        <v>150</v>
      </c>
      <c r="B589" t="s">
        <v>134</v>
      </c>
      <c r="C589">
        <v>8.9961391010000007</v>
      </c>
    </row>
    <row r="590" spans="1:3" x14ac:dyDescent="0.35">
      <c r="A590" t="s">
        <v>150</v>
      </c>
      <c r="B590" t="s">
        <v>135</v>
      </c>
      <c r="C590">
        <v>5.5074889760000003</v>
      </c>
    </row>
    <row r="591" spans="1:3" x14ac:dyDescent="0.35">
      <c r="A591" t="s">
        <v>150</v>
      </c>
      <c r="B591" t="s">
        <v>136</v>
      </c>
      <c r="C591">
        <v>4.5787546700000004</v>
      </c>
    </row>
    <row r="592" spans="1:3" x14ac:dyDescent="0.35">
      <c r="A592" t="s">
        <v>150</v>
      </c>
      <c r="B592" t="s">
        <v>137</v>
      </c>
      <c r="C592">
        <v>3.0413517149999998</v>
      </c>
    </row>
    <row r="593" spans="1:3" x14ac:dyDescent="0.35">
      <c r="A593" t="s">
        <v>150</v>
      </c>
      <c r="B593" t="s">
        <v>138</v>
      </c>
      <c r="C593">
        <v>3.2589444740000002</v>
      </c>
    </row>
    <row r="594" spans="1:3" x14ac:dyDescent="0.35">
      <c r="A594" t="s">
        <v>150</v>
      </c>
      <c r="B594" t="s">
        <v>4</v>
      </c>
      <c r="C594">
        <v>3.49175558</v>
      </c>
    </row>
    <row r="595" spans="1:3" x14ac:dyDescent="0.35">
      <c r="A595" t="s">
        <v>151</v>
      </c>
      <c r="B595" t="s">
        <v>141</v>
      </c>
      <c r="C595">
        <v>216.7</v>
      </c>
    </row>
    <row r="596" spans="1:3" x14ac:dyDescent="0.35">
      <c r="A596" t="s">
        <v>151</v>
      </c>
      <c r="B596" t="s">
        <v>142</v>
      </c>
      <c r="C596">
        <v>227.63</v>
      </c>
    </row>
    <row r="597" spans="1:3" x14ac:dyDescent="0.35">
      <c r="A597" t="s">
        <v>151</v>
      </c>
      <c r="B597" t="s">
        <v>143</v>
      </c>
      <c r="C597">
        <v>229.86</v>
      </c>
    </row>
    <row r="598" spans="1:3" x14ac:dyDescent="0.35">
      <c r="A598" t="s">
        <v>151</v>
      </c>
      <c r="B598" t="s">
        <v>28</v>
      </c>
      <c r="C598">
        <v>241.65</v>
      </c>
    </row>
    <row r="599" spans="1:3" x14ac:dyDescent="0.35">
      <c r="A599" t="s">
        <v>151</v>
      </c>
      <c r="B599" t="s">
        <v>29</v>
      </c>
      <c r="C599">
        <v>225.87</v>
      </c>
    </row>
    <row r="600" spans="1:3" x14ac:dyDescent="0.35">
      <c r="A600" t="s">
        <v>151</v>
      </c>
      <c r="B600" t="s">
        <v>30</v>
      </c>
      <c r="C600">
        <v>228.51</v>
      </c>
    </row>
    <row r="601" spans="1:3" x14ac:dyDescent="0.35">
      <c r="A601" t="s">
        <v>151</v>
      </c>
      <c r="B601" t="s">
        <v>31</v>
      </c>
      <c r="C601">
        <v>235.28</v>
      </c>
    </row>
    <row r="602" spans="1:3" x14ac:dyDescent="0.35">
      <c r="A602" t="s">
        <v>151</v>
      </c>
      <c r="B602" t="s">
        <v>32</v>
      </c>
      <c r="C602">
        <v>239.54</v>
      </c>
    </row>
    <row r="603" spans="1:3" x14ac:dyDescent="0.35">
      <c r="A603" t="s">
        <v>151</v>
      </c>
      <c r="B603" t="s">
        <v>33</v>
      </c>
      <c r="C603">
        <v>259.23</v>
      </c>
    </row>
    <row r="604" spans="1:3" x14ac:dyDescent="0.35">
      <c r="A604" t="s">
        <v>151</v>
      </c>
      <c r="B604" t="s">
        <v>34</v>
      </c>
      <c r="C604">
        <v>274.01</v>
      </c>
    </row>
    <row r="605" spans="1:3" x14ac:dyDescent="0.35">
      <c r="A605" t="s">
        <v>151</v>
      </c>
      <c r="B605" t="s">
        <v>35</v>
      </c>
      <c r="C605">
        <v>294.23</v>
      </c>
    </row>
    <row r="606" spans="1:3" x14ac:dyDescent="0.35">
      <c r="A606" t="s">
        <v>151</v>
      </c>
      <c r="B606" t="s">
        <v>36</v>
      </c>
      <c r="C606">
        <v>311.05</v>
      </c>
    </row>
    <row r="607" spans="1:3" x14ac:dyDescent="0.35">
      <c r="A607" t="s">
        <v>151</v>
      </c>
      <c r="B607" t="s">
        <v>37</v>
      </c>
      <c r="C607">
        <v>311.37</v>
      </c>
    </row>
    <row r="608" spans="1:3" x14ac:dyDescent="0.35">
      <c r="A608" t="s">
        <v>151</v>
      </c>
      <c r="B608" t="s">
        <v>38</v>
      </c>
      <c r="C608">
        <v>304.27</v>
      </c>
    </row>
    <row r="609" spans="1:3" x14ac:dyDescent="0.35">
      <c r="A609" t="s">
        <v>151</v>
      </c>
      <c r="B609" t="s">
        <v>39</v>
      </c>
      <c r="C609">
        <v>296.32</v>
      </c>
    </row>
    <row r="610" spans="1:3" x14ac:dyDescent="0.35">
      <c r="A610" t="s">
        <v>151</v>
      </c>
      <c r="B610" t="s">
        <v>40</v>
      </c>
      <c r="C610">
        <v>287.61</v>
      </c>
    </row>
    <row r="611" spans="1:3" x14ac:dyDescent="0.35">
      <c r="A611" t="s">
        <v>151</v>
      </c>
      <c r="B611" t="s">
        <v>41</v>
      </c>
      <c r="C611">
        <v>304.10000000000002</v>
      </c>
    </row>
    <row r="612" spans="1:3" x14ac:dyDescent="0.35">
      <c r="A612" t="s">
        <v>151</v>
      </c>
      <c r="B612" t="s">
        <v>42</v>
      </c>
      <c r="C612">
        <v>314.93</v>
      </c>
    </row>
    <row r="613" spans="1:3" x14ac:dyDescent="0.35">
      <c r="A613" t="s">
        <v>151</v>
      </c>
      <c r="B613" t="s">
        <v>43</v>
      </c>
      <c r="C613">
        <v>319.33</v>
      </c>
    </row>
    <row r="614" spans="1:3" x14ac:dyDescent="0.35">
      <c r="A614" t="s">
        <v>151</v>
      </c>
      <c r="B614" t="s">
        <v>44</v>
      </c>
      <c r="C614">
        <v>387.17</v>
      </c>
    </row>
    <row r="615" spans="1:3" x14ac:dyDescent="0.35">
      <c r="A615" t="s">
        <v>151</v>
      </c>
      <c r="B615" t="s">
        <v>45</v>
      </c>
      <c r="C615">
        <v>264.43</v>
      </c>
    </row>
    <row r="616" spans="1:3" x14ac:dyDescent="0.35">
      <c r="A616" t="s">
        <v>151</v>
      </c>
      <c r="B616" t="s">
        <v>46</v>
      </c>
      <c r="C616">
        <v>290.12</v>
      </c>
    </row>
    <row r="617" spans="1:3" x14ac:dyDescent="0.35">
      <c r="A617" t="s">
        <v>151</v>
      </c>
      <c r="B617" t="s">
        <v>47</v>
      </c>
      <c r="C617">
        <v>290.76</v>
      </c>
    </row>
    <row r="618" spans="1:3" x14ac:dyDescent="0.35">
      <c r="A618" t="s">
        <v>151</v>
      </c>
      <c r="B618" t="s">
        <v>48</v>
      </c>
      <c r="C618">
        <v>307.02</v>
      </c>
    </row>
    <row r="619" spans="1:3" x14ac:dyDescent="0.35">
      <c r="A619" t="s">
        <v>151</v>
      </c>
      <c r="B619" t="s">
        <v>49</v>
      </c>
      <c r="C619">
        <v>308.45999999999998</v>
      </c>
    </row>
    <row r="620" spans="1:3" x14ac:dyDescent="0.35">
      <c r="A620" t="s">
        <v>151</v>
      </c>
      <c r="B620" t="s">
        <v>50</v>
      </c>
      <c r="C620">
        <v>306.88</v>
      </c>
    </row>
    <row r="621" spans="1:3" x14ac:dyDescent="0.35">
      <c r="A621" t="s">
        <v>151</v>
      </c>
      <c r="B621" t="s">
        <v>51</v>
      </c>
      <c r="C621">
        <v>301.01</v>
      </c>
    </row>
    <row r="622" spans="1:3" x14ac:dyDescent="0.35">
      <c r="A622" t="s">
        <v>151</v>
      </c>
      <c r="B622" t="s">
        <v>52</v>
      </c>
      <c r="C622">
        <v>291.12</v>
      </c>
    </row>
    <row r="623" spans="1:3" x14ac:dyDescent="0.35">
      <c r="A623" t="s">
        <v>151</v>
      </c>
      <c r="B623" t="s">
        <v>53</v>
      </c>
      <c r="C623">
        <v>300.14</v>
      </c>
    </row>
    <row r="624" spans="1:3" x14ac:dyDescent="0.35">
      <c r="A624" t="s">
        <v>151</v>
      </c>
      <c r="B624" t="s">
        <v>54</v>
      </c>
      <c r="C624">
        <v>299.08999999999997</v>
      </c>
    </row>
    <row r="625" spans="1:3" x14ac:dyDescent="0.35">
      <c r="A625" t="s">
        <v>151</v>
      </c>
      <c r="B625" t="s">
        <v>55</v>
      </c>
      <c r="C625">
        <v>299.06</v>
      </c>
    </row>
    <row r="626" spans="1:3" x14ac:dyDescent="0.35">
      <c r="A626" t="s">
        <v>151</v>
      </c>
      <c r="B626" t="s">
        <v>56</v>
      </c>
      <c r="C626">
        <v>292.33999999999997</v>
      </c>
    </row>
    <row r="627" spans="1:3" x14ac:dyDescent="0.35">
      <c r="A627" t="s">
        <v>151</v>
      </c>
      <c r="B627" t="s">
        <v>57</v>
      </c>
      <c r="C627">
        <v>294.86</v>
      </c>
    </row>
    <row r="628" spans="1:3" x14ac:dyDescent="0.35">
      <c r="A628" t="s">
        <v>151</v>
      </c>
      <c r="B628" t="s">
        <v>58</v>
      </c>
      <c r="C628">
        <v>294.36</v>
      </c>
    </row>
    <row r="629" spans="1:3" x14ac:dyDescent="0.35">
      <c r="A629" t="s">
        <v>151</v>
      </c>
      <c r="B629" t="s">
        <v>59</v>
      </c>
      <c r="C629">
        <v>295.10000000000002</v>
      </c>
    </row>
    <row r="630" spans="1:3" x14ac:dyDescent="0.35">
      <c r="A630" t="s">
        <v>151</v>
      </c>
      <c r="B630" t="s">
        <v>60</v>
      </c>
      <c r="C630">
        <v>285.83</v>
      </c>
    </row>
    <row r="631" spans="1:3" x14ac:dyDescent="0.35">
      <c r="A631" t="s">
        <v>151</v>
      </c>
      <c r="B631" t="s">
        <v>61</v>
      </c>
      <c r="C631">
        <v>154.55000000000001</v>
      </c>
    </row>
    <row r="632" spans="1:3" x14ac:dyDescent="0.35">
      <c r="A632" t="s">
        <v>151</v>
      </c>
      <c r="B632" t="s">
        <v>62</v>
      </c>
      <c r="C632">
        <v>248.93</v>
      </c>
    </row>
    <row r="633" spans="1:3" x14ac:dyDescent="0.35">
      <c r="A633" t="s">
        <v>151</v>
      </c>
      <c r="B633" t="s">
        <v>63</v>
      </c>
      <c r="C633">
        <v>348.49</v>
      </c>
    </row>
    <row r="634" spans="1:3" x14ac:dyDescent="0.35">
      <c r="A634" t="s">
        <v>151</v>
      </c>
      <c r="B634" t="s">
        <v>64</v>
      </c>
      <c r="C634">
        <v>438.97</v>
      </c>
    </row>
    <row r="635" spans="1:3" x14ac:dyDescent="0.35">
      <c r="A635" t="s">
        <v>151</v>
      </c>
      <c r="B635" t="s">
        <v>65</v>
      </c>
      <c r="C635">
        <v>441.61</v>
      </c>
    </row>
    <row r="636" spans="1:3" x14ac:dyDescent="0.35">
      <c r="A636" t="s">
        <v>151</v>
      </c>
      <c r="B636" t="s">
        <v>66</v>
      </c>
      <c r="C636">
        <v>333.16</v>
      </c>
    </row>
    <row r="637" spans="1:3" x14ac:dyDescent="0.35">
      <c r="A637" t="s">
        <v>151</v>
      </c>
      <c r="B637" t="s">
        <v>67</v>
      </c>
      <c r="C637">
        <v>269.19</v>
      </c>
    </row>
    <row r="638" spans="1:3" x14ac:dyDescent="0.35">
      <c r="A638" t="s">
        <v>151</v>
      </c>
      <c r="B638" t="s">
        <v>68</v>
      </c>
      <c r="C638">
        <v>331.89</v>
      </c>
    </row>
    <row r="639" spans="1:3" x14ac:dyDescent="0.35">
      <c r="A639" t="s">
        <v>151</v>
      </c>
      <c r="B639" t="s">
        <v>69</v>
      </c>
      <c r="C639">
        <v>317.27</v>
      </c>
    </row>
    <row r="640" spans="1:3" x14ac:dyDescent="0.35">
      <c r="A640" t="s">
        <v>151</v>
      </c>
      <c r="B640" t="s">
        <v>70</v>
      </c>
      <c r="C640">
        <v>307.99</v>
      </c>
    </row>
    <row r="641" spans="1:3" x14ac:dyDescent="0.35">
      <c r="A641" t="s">
        <v>151</v>
      </c>
      <c r="B641" t="s">
        <v>71</v>
      </c>
      <c r="C641">
        <v>307.82</v>
      </c>
    </row>
    <row r="642" spans="1:3" x14ac:dyDescent="0.35">
      <c r="A642" t="s">
        <v>151</v>
      </c>
      <c r="B642" t="s">
        <v>72</v>
      </c>
      <c r="C642">
        <v>275.55</v>
      </c>
    </row>
    <row r="643" spans="1:3" x14ac:dyDescent="0.35">
      <c r="A643" t="s">
        <v>151</v>
      </c>
      <c r="B643" t="s">
        <v>73</v>
      </c>
      <c r="C643">
        <v>245.09</v>
      </c>
    </row>
    <row r="644" spans="1:3" x14ac:dyDescent="0.35">
      <c r="A644" t="s">
        <v>151</v>
      </c>
      <c r="B644" t="s">
        <v>74</v>
      </c>
      <c r="C644">
        <v>256.56</v>
      </c>
    </row>
    <row r="645" spans="1:3" x14ac:dyDescent="0.35">
      <c r="A645" t="s">
        <v>151</v>
      </c>
      <c r="B645" t="s">
        <v>75</v>
      </c>
      <c r="C645">
        <v>246.14</v>
      </c>
    </row>
    <row r="646" spans="1:3" x14ac:dyDescent="0.35">
      <c r="A646" t="s">
        <v>151</v>
      </c>
      <c r="B646" t="s">
        <v>76</v>
      </c>
      <c r="C646">
        <v>253.54</v>
      </c>
    </row>
    <row r="647" spans="1:3" x14ac:dyDescent="0.35">
      <c r="A647" t="s">
        <v>151</v>
      </c>
      <c r="B647" t="s">
        <v>77</v>
      </c>
      <c r="C647">
        <v>273.49</v>
      </c>
    </row>
    <row r="648" spans="1:3" x14ac:dyDescent="0.35">
      <c r="A648" t="s">
        <v>151</v>
      </c>
      <c r="B648" t="s">
        <v>78</v>
      </c>
      <c r="C648">
        <v>275.54000000000002</v>
      </c>
    </row>
    <row r="649" spans="1:3" x14ac:dyDescent="0.35">
      <c r="A649" t="s">
        <v>151</v>
      </c>
      <c r="B649" t="s">
        <v>79</v>
      </c>
      <c r="C649">
        <v>290.83999999999997</v>
      </c>
    </row>
    <row r="650" spans="1:3" x14ac:dyDescent="0.35">
      <c r="A650" t="s">
        <v>151</v>
      </c>
      <c r="B650" t="s">
        <v>80</v>
      </c>
      <c r="C650">
        <v>219.26666700000001</v>
      </c>
    </row>
    <row r="651" spans="1:3" x14ac:dyDescent="0.35">
      <c r="A651" t="s">
        <v>151</v>
      </c>
      <c r="B651" t="s">
        <v>81</v>
      </c>
      <c r="C651">
        <v>223.5</v>
      </c>
    </row>
    <row r="652" spans="1:3" x14ac:dyDescent="0.35">
      <c r="A652" t="s">
        <v>151</v>
      </c>
      <c r="B652" t="s">
        <v>82</v>
      </c>
      <c r="C652">
        <v>224.466667</v>
      </c>
    </row>
    <row r="653" spans="1:3" x14ac:dyDescent="0.35">
      <c r="A653" t="s">
        <v>151</v>
      </c>
      <c r="B653" t="s">
        <v>83</v>
      </c>
      <c r="C653">
        <v>227</v>
      </c>
    </row>
    <row r="654" spans="1:3" x14ac:dyDescent="0.35">
      <c r="A654" t="s">
        <v>151</v>
      </c>
      <c r="B654" t="s">
        <v>84</v>
      </c>
      <c r="C654">
        <v>230.933333</v>
      </c>
    </row>
    <row r="655" spans="1:3" x14ac:dyDescent="0.35">
      <c r="A655" t="s">
        <v>151</v>
      </c>
      <c r="B655" t="s">
        <v>85</v>
      </c>
      <c r="C655">
        <v>234.933333</v>
      </c>
    </row>
    <row r="656" spans="1:3" x14ac:dyDescent="0.35">
      <c r="A656" t="s">
        <v>151</v>
      </c>
      <c r="B656" t="s">
        <v>86</v>
      </c>
      <c r="C656">
        <v>236.23333299999999</v>
      </c>
    </row>
    <row r="657" spans="1:3" x14ac:dyDescent="0.35">
      <c r="A657" t="s">
        <v>151</v>
      </c>
      <c r="B657" t="s">
        <v>87</v>
      </c>
      <c r="C657">
        <v>238.63333299999999</v>
      </c>
    </row>
    <row r="658" spans="1:3" x14ac:dyDescent="0.35">
      <c r="A658" t="s">
        <v>151</v>
      </c>
      <c r="B658" t="s">
        <v>88</v>
      </c>
      <c r="C658">
        <v>239.566667</v>
      </c>
    </row>
    <row r="659" spans="1:3" x14ac:dyDescent="0.35">
      <c r="A659" t="s">
        <v>151</v>
      </c>
      <c r="B659" t="s">
        <v>89</v>
      </c>
      <c r="C659">
        <v>242.23333299999999</v>
      </c>
    </row>
    <row r="660" spans="1:3" x14ac:dyDescent="0.35">
      <c r="A660" t="s">
        <v>151</v>
      </c>
      <c r="B660" t="s">
        <v>90</v>
      </c>
      <c r="C660">
        <v>243.1</v>
      </c>
    </row>
    <row r="661" spans="1:3" x14ac:dyDescent="0.35">
      <c r="A661" t="s">
        <v>151</v>
      </c>
      <c r="B661" t="s">
        <v>91</v>
      </c>
      <c r="C661">
        <v>246</v>
      </c>
    </row>
    <row r="662" spans="1:3" x14ac:dyDescent="0.35">
      <c r="A662" t="s">
        <v>151</v>
      </c>
      <c r="B662" t="s">
        <v>92</v>
      </c>
      <c r="C662">
        <v>247.36666700000001</v>
      </c>
    </row>
    <row r="663" spans="1:3" x14ac:dyDescent="0.35">
      <c r="A663" t="s">
        <v>151</v>
      </c>
      <c r="B663" t="s">
        <v>93</v>
      </c>
      <c r="C663">
        <v>249.73333299999999</v>
      </c>
    </row>
    <row r="664" spans="1:3" x14ac:dyDescent="0.35">
      <c r="A664" t="s">
        <v>151</v>
      </c>
      <c r="B664" t="s">
        <v>94</v>
      </c>
      <c r="C664">
        <v>250.86666700000001</v>
      </c>
    </row>
    <row r="665" spans="1:3" x14ac:dyDescent="0.35">
      <c r="A665" t="s">
        <v>151</v>
      </c>
      <c r="B665" t="s">
        <v>95</v>
      </c>
      <c r="C665">
        <v>252.466667</v>
      </c>
    </row>
    <row r="666" spans="1:3" x14ac:dyDescent="0.35">
      <c r="A666" t="s">
        <v>151</v>
      </c>
      <c r="B666" t="s">
        <v>96</v>
      </c>
      <c r="C666">
        <v>253.86666700000001</v>
      </c>
    </row>
    <row r="667" spans="1:3" x14ac:dyDescent="0.35">
      <c r="A667" t="s">
        <v>151</v>
      </c>
      <c r="B667" t="s">
        <v>97</v>
      </c>
      <c r="C667">
        <v>255.966667</v>
      </c>
    </row>
    <row r="668" spans="1:3" x14ac:dyDescent="0.35">
      <c r="A668" t="s">
        <v>151</v>
      </c>
      <c r="B668" t="s">
        <v>98</v>
      </c>
      <c r="C668">
        <v>256.86666700000001</v>
      </c>
    </row>
    <row r="669" spans="1:3" x14ac:dyDescent="0.35">
      <c r="A669" t="s">
        <v>151</v>
      </c>
      <c r="B669" t="s">
        <v>99</v>
      </c>
      <c r="C669">
        <v>257.433333</v>
      </c>
    </row>
    <row r="670" spans="1:3" x14ac:dyDescent="0.35">
      <c r="A670" t="s">
        <v>151</v>
      </c>
      <c r="B670" t="s">
        <v>100</v>
      </c>
      <c r="C670">
        <v>256.39999999999998</v>
      </c>
    </row>
    <row r="671" spans="1:3" x14ac:dyDescent="0.35">
      <c r="A671" t="s">
        <v>151</v>
      </c>
      <c r="B671" t="s">
        <v>101</v>
      </c>
      <c r="C671">
        <v>258.46666699999997</v>
      </c>
    </row>
    <row r="672" spans="1:3" x14ac:dyDescent="0.35">
      <c r="A672" t="s">
        <v>151</v>
      </c>
      <c r="B672" t="s">
        <v>102</v>
      </c>
      <c r="C672">
        <v>259.33333299999998</v>
      </c>
    </row>
    <row r="673" spans="1:3" x14ac:dyDescent="0.35">
      <c r="A673" t="s">
        <v>151</v>
      </c>
      <c r="B673" t="s">
        <v>103</v>
      </c>
      <c r="C673">
        <v>259.96666699999997</v>
      </c>
    </row>
    <row r="674" spans="1:3" x14ac:dyDescent="0.35">
      <c r="A674" t="s">
        <v>151</v>
      </c>
      <c r="B674" t="s">
        <v>104</v>
      </c>
      <c r="C674">
        <v>259.96666699999997</v>
      </c>
    </row>
    <row r="675" spans="1:3" x14ac:dyDescent="0.35">
      <c r="A675" t="s">
        <v>151</v>
      </c>
      <c r="B675" t="s">
        <v>105</v>
      </c>
      <c r="C675">
        <v>262.2</v>
      </c>
    </row>
    <row r="676" spans="1:3" x14ac:dyDescent="0.35">
      <c r="A676" t="s">
        <v>151</v>
      </c>
      <c r="B676" t="s">
        <v>106</v>
      </c>
      <c r="C676">
        <v>264.23333300000002</v>
      </c>
    </row>
    <row r="677" spans="1:3" x14ac:dyDescent="0.35">
      <c r="A677" t="s">
        <v>151</v>
      </c>
      <c r="B677" t="s">
        <v>107</v>
      </c>
      <c r="C677">
        <v>265.8</v>
      </c>
    </row>
    <row r="678" spans="1:3" x14ac:dyDescent="0.35">
      <c r="A678" t="s">
        <v>151</v>
      </c>
      <c r="B678" t="s">
        <v>108</v>
      </c>
      <c r="C678">
        <v>267.73333300000002</v>
      </c>
    </row>
    <row r="679" spans="1:3" x14ac:dyDescent="0.35">
      <c r="A679" t="s">
        <v>151</v>
      </c>
      <c r="B679" t="s">
        <v>109</v>
      </c>
      <c r="C679">
        <v>271.53333300000003</v>
      </c>
    </row>
    <row r="680" spans="1:3" x14ac:dyDescent="0.35">
      <c r="A680" t="s">
        <v>151</v>
      </c>
      <c r="B680" t="s">
        <v>110</v>
      </c>
      <c r="C680">
        <v>274.23333300000002</v>
      </c>
    </row>
    <row r="681" spans="1:3" x14ac:dyDescent="0.35">
      <c r="A681" t="s">
        <v>151</v>
      </c>
      <c r="B681" t="s">
        <v>111</v>
      </c>
      <c r="C681">
        <v>276.39999999999998</v>
      </c>
    </row>
    <row r="682" spans="1:3" x14ac:dyDescent="0.35">
      <c r="A682" t="s">
        <v>151</v>
      </c>
      <c r="B682" t="s">
        <v>112</v>
      </c>
      <c r="C682">
        <v>277.46666699999997</v>
      </c>
    </row>
    <row r="683" spans="1:3" x14ac:dyDescent="0.35">
      <c r="A683" t="s">
        <v>151</v>
      </c>
      <c r="B683" t="s">
        <v>113</v>
      </c>
      <c r="C683">
        <v>280.63333299999999</v>
      </c>
    </row>
    <row r="684" spans="1:3" x14ac:dyDescent="0.35">
      <c r="A684" t="s">
        <v>151</v>
      </c>
      <c r="B684" t="s">
        <v>114</v>
      </c>
      <c r="C684">
        <v>283.33333299999998</v>
      </c>
    </row>
    <row r="685" spans="1:3" x14ac:dyDescent="0.35">
      <c r="A685" t="s">
        <v>151</v>
      </c>
      <c r="B685" t="s">
        <v>115</v>
      </c>
      <c r="C685">
        <v>284.89999999999998</v>
      </c>
    </row>
    <row r="686" spans="1:3" x14ac:dyDescent="0.35">
      <c r="A686" t="s">
        <v>151</v>
      </c>
      <c r="B686" t="s">
        <v>116</v>
      </c>
      <c r="C686">
        <v>284.36666700000001</v>
      </c>
    </row>
    <row r="687" spans="1:3" x14ac:dyDescent="0.35">
      <c r="A687" t="s">
        <v>151</v>
      </c>
      <c r="B687" t="s">
        <v>117</v>
      </c>
      <c r="C687">
        <v>289</v>
      </c>
    </row>
    <row r="688" spans="1:3" x14ac:dyDescent="0.35">
      <c r="A688" t="s">
        <v>151</v>
      </c>
      <c r="B688" t="s">
        <v>118</v>
      </c>
      <c r="C688">
        <v>290.73333300000002</v>
      </c>
    </row>
    <row r="689" spans="1:3" x14ac:dyDescent="0.35">
      <c r="A689" t="s">
        <v>151</v>
      </c>
      <c r="B689" t="s">
        <v>119</v>
      </c>
      <c r="C689">
        <v>291.10000000000002</v>
      </c>
    </row>
    <row r="690" spans="1:3" x14ac:dyDescent="0.35">
      <c r="A690" t="s">
        <v>151</v>
      </c>
      <c r="B690" t="s">
        <v>120</v>
      </c>
      <c r="C690">
        <v>291.73333300000002</v>
      </c>
    </row>
    <row r="691" spans="1:3" x14ac:dyDescent="0.35">
      <c r="A691" t="s">
        <v>151</v>
      </c>
      <c r="B691" t="s">
        <v>121</v>
      </c>
      <c r="C691">
        <v>292.5</v>
      </c>
    </row>
    <row r="692" spans="1:3" x14ac:dyDescent="0.35">
      <c r="A692" t="s">
        <v>151</v>
      </c>
      <c r="B692" t="s">
        <v>122</v>
      </c>
      <c r="C692">
        <v>293.933333</v>
      </c>
    </row>
    <row r="693" spans="1:3" x14ac:dyDescent="0.35">
      <c r="A693" t="s">
        <v>151</v>
      </c>
      <c r="B693" t="s">
        <v>123</v>
      </c>
      <c r="C693">
        <v>294.39999999999998</v>
      </c>
    </row>
    <row r="694" spans="1:3" x14ac:dyDescent="0.35">
      <c r="A694" t="s">
        <v>151</v>
      </c>
      <c r="B694" t="s">
        <v>124</v>
      </c>
      <c r="C694">
        <v>295.83333299999998</v>
      </c>
    </row>
    <row r="695" spans="1:3" x14ac:dyDescent="0.35">
      <c r="A695" t="s">
        <v>151</v>
      </c>
      <c r="B695" t="s">
        <v>125</v>
      </c>
      <c r="C695">
        <v>302.33333299999998</v>
      </c>
    </row>
    <row r="696" spans="1:3" x14ac:dyDescent="0.35">
      <c r="A696" t="s">
        <v>151</v>
      </c>
      <c r="B696" t="s">
        <v>126</v>
      </c>
      <c r="C696">
        <v>307.16666700000002</v>
      </c>
    </row>
    <row r="697" spans="1:3" x14ac:dyDescent="0.35">
      <c r="A697" t="s">
        <v>151</v>
      </c>
      <c r="B697" t="s">
        <v>127</v>
      </c>
      <c r="C697">
        <v>314.66666700000002</v>
      </c>
    </row>
    <row r="698" spans="1:3" x14ac:dyDescent="0.35">
      <c r="A698" t="s">
        <v>151</v>
      </c>
      <c r="B698" t="s">
        <v>128</v>
      </c>
      <c r="C698">
        <v>320.46666699999997</v>
      </c>
    </row>
    <row r="699" spans="1:3" x14ac:dyDescent="0.35">
      <c r="A699" t="s">
        <v>151</v>
      </c>
      <c r="B699" t="s">
        <v>129</v>
      </c>
      <c r="C699">
        <v>337.23333300000002</v>
      </c>
    </row>
    <row r="700" spans="1:3" x14ac:dyDescent="0.35">
      <c r="A700" t="s">
        <v>151</v>
      </c>
      <c r="B700" t="s">
        <v>130</v>
      </c>
      <c r="C700">
        <v>345.33333299999998</v>
      </c>
    </row>
    <row r="701" spans="1:3" x14ac:dyDescent="0.35">
      <c r="A701" t="s">
        <v>151</v>
      </c>
      <c r="B701" t="s">
        <v>131</v>
      </c>
      <c r="C701">
        <v>358.3</v>
      </c>
    </row>
    <row r="702" spans="1:3" x14ac:dyDescent="0.35">
      <c r="A702" t="s">
        <v>151</v>
      </c>
      <c r="B702" t="s">
        <v>132</v>
      </c>
      <c r="C702">
        <v>364</v>
      </c>
    </row>
    <row r="703" spans="1:3" x14ac:dyDescent="0.35">
      <c r="A703" t="s">
        <v>151</v>
      </c>
      <c r="B703" t="s">
        <v>133</v>
      </c>
      <c r="C703">
        <v>374.83333299999998</v>
      </c>
    </row>
    <row r="704" spans="1:3" x14ac:dyDescent="0.35">
      <c r="A704" t="s">
        <v>151</v>
      </c>
      <c r="B704" t="s">
        <v>134</v>
      </c>
      <c r="C704">
        <v>376.4</v>
      </c>
    </row>
    <row r="705" spans="1:3" x14ac:dyDescent="0.35">
      <c r="A705" t="s">
        <v>151</v>
      </c>
      <c r="B705" t="s">
        <v>135</v>
      </c>
      <c r="C705">
        <v>378.03333300000003</v>
      </c>
    </row>
    <row r="706" spans="1:3" x14ac:dyDescent="0.35">
      <c r="A706" t="s">
        <v>151</v>
      </c>
      <c r="B706" t="s">
        <v>136</v>
      </c>
      <c r="C706">
        <v>380.66666700000002</v>
      </c>
    </row>
    <row r="707" spans="1:3" x14ac:dyDescent="0.35">
      <c r="A707" t="s">
        <v>151</v>
      </c>
      <c r="B707" t="s">
        <v>137</v>
      </c>
      <c r="C707">
        <v>386.23333300000002</v>
      </c>
    </row>
    <row r="708" spans="1:3" x14ac:dyDescent="0.35">
      <c r="A708" t="s">
        <v>151</v>
      </c>
      <c r="B708" t="s">
        <v>138</v>
      </c>
      <c r="C708">
        <v>388.66666700000002</v>
      </c>
    </row>
    <row r="709" spans="1:3" x14ac:dyDescent="0.35">
      <c r="A709" t="s">
        <v>151</v>
      </c>
      <c r="B709" t="s">
        <v>4</v>
      </c>
      <c r="C709">
        <v>391.23333300000002</v>
      </c>
    </row>
    <row r="710" spans="1:3" x14ac:dyDescent="0.35">
      <c r="A710" t="s">
        <v>152</v>
      </c>
      <c r="B710" t="s">
        <v>4</v>
      </c>
      <c r="C710">
        <v>2.921268258</v>
      </c>
    </row>
    <row r="711" spans="1:3" x14ac:dyDescent="0.35">
      <c r="A711" t="s">
        <v>152</v>
      </c>
      <c r="B711" t="s">
        <v>5</v>
      </c>
      <c r="C711">
        <v>2.9829451549999999</v>
      </c>
    </row>
    <row r="712" spans="1:3" x14ac:dyDescent="0.35">
      <c r="A712" t="s">
        <v>152</v>
      </c>
      <c r="B712" t="s">
        <v>6</v>
      </c>
      <c r="C712">
        <v>3.765218715</v>
      </c>
    </row>
    <row r="713" spans="1:3" x14ac:dyDescent="0.35">
      <c r="A713" t="s">
        <v>152</v>
      </c>
      <c r="B713" t="s">
        <v>7</v>
      </c>
      <c r="C713">
        <v>4.2317483349999998</v>
      </c>
    </row>
    <row r="714" spans="1:3" x14ac:dyDescent="0.35">
      <c r="A714" t="s">
        <v>152</v>
      </c>
      <c r="B714" t="s">
        <v>8</v>
      </c>
      <c r="C714">
        <v>3.844524609</v>
      </c>
    </row>
    <row r="715" spans="1:3" x14ac:dyDescent="0.35">
      <c r="A715" t="s">
        <v>152</v>
      </c>
      <c r="B715" t="s">
        <v>9</v>
      </c>
      <c r="C715">
        <v>3.3351217019999999</v>
      </c>
    </row>
    <row r="716" spans="1:3" x14ac:dyDescent="0.35">
      <c r="A716" t="s">
        <v>152</v>
      </c>
      <c r="B716" t="s">
        <v>10</v>
      </c>
      <c r="C716">
        <v>2.7763965530000001</v>
      </c>
    </row>
    <row r="717" spans="1:3" x14ac:dyDescent="0.35">
      <c r="A717" t="s">
        <v>152</v>
      </c>
      <c r="B717" t="s">
        <v>11</v>
      </c>
      <c r="C717">
        <v>2.565283413</v>
      </c>
    </row>
    <row r="718" spans="1:3" x14ac:dyDescent="0.35">
      <c r="A718" t="s">
        <v>152</v>
      </c>
      <c r="B718" t="s">
        <v>12</v>
      </c>
      <c r="C718">
        <v>2.6589640540000001</v>
      </c>
    </row>
    <row r="719" spans="1:3" x14ac:dyDescent="0.35">
      <c r="A719" t="s">
        <v>152</v>
      </c>
      <c r="B719" t="s">
        <v>13</v>
      </c>
      <c r="C719">
        <v>2.7363765930000001</v>
      </c>
    </row>
    <row r="720" spans="1:3" x14ac:dyDescent="0.35">
      <c r="A720" t="s">
        <v>152</v>
      </c>
      <c r="B720" t="s">
        <v>14</v>
      </c>
      <c r="C720">
        <v>2.7499675039999998</v>
      </c>
    </row>
    <row r="721" spans="1:3" x14ac:dyDescent="0.35">
      <c r="A721" t="s">
        <v>152</v>
      </c>
      <c r="B721" t="s">
        <v>15</v>
      </c>
      <c r="C721">
        <v>2.7671967209999999</v>
      </c>
    </row>
    <row r="722" spans="1:3" x14ac:dyDescent="0.35">
      <c r="A722" t="s">
        <v>152</v>
      </c>
      <c r="B722" t="s">
        <v>16</v>
      </c>
      <c r="C722">
        <v>2.7655999549999999</v>
      </c>
    </row>
    <row r="723" spans="1:3" x14ac:dyDescent="0.35">
      <c r="A723" t="s">
        <v>152</v>
      </c>
      <c r="B723" t="s">
        <v>17</v>
      </c>
      <c r="C723">
        <v>2.7652007240000001</v>
      </c>
    </row>
    <row r="724" spans="1:3" x14ac:dyDescent="0.35">
      <c r="A724" t="s">
        <v>152</v>
      </c>
      <c r="B724" t="s">
        <v>18</v>
      </c>
      <c r="C724">
        <v>2.7624298029999999</v>
      </c>
    </row>
    <row r="725" spans="1:3" x14ac:dyDescent="0.35">
      <c r="A725" t="s">
        <v>152</v>
      </c>
      <c r="B725" t="s">
        <v>19</v>
      </c>
      <c r="C725">
        <v>2.7589968790000001</v>
      </c>
    </row>
    <row r="726" spans="1:3" x14ac:dyDescent="0.35">
      <c r="A726" t="s">
        <v>152</v>
      </c>
      <c r="B726" t="s">
        <v>20</v>
      </c>
      <c r="C726">
        <v>2.7567236359999998</v>
      </c>
    </row>
    <row r="727" spans="1:3" x14ac:dyDescent="0.35">
      <c r="A727" t="s">
        <v>152</v>
      </c>
      <c r="B727" t="s">
        <v>21</v>
      </c>
      <c r="C727">
        <v>2.755375892</v>
      </c>
    </row>
    <row r="728" spans="1:3" x14ac:dyDescent="0.35">
      <c r="A728" t="s">
        <v>152</v>
      </c>
      <c r="B728" t="s">
        <v>22</v>
      </c>
      <c r="C728">
        <v>2.756173215</v>
      </c>
    </row>
    <row r="729" spans="1:3" x14ac:dyDescent="0.35">
      <c r="A729" t="s">
        <v>152</v>
      </c>
      <c r="B729" t="s">
        <v>23</v>
      </c>
      <c r="C729">
        <v>2.7571039289999999</v>
      </c>
    </row>
    <row r="730" spans="1:3" x14ac:dyDescent="0.35">
      <c r="A730" t="s">
        <v>152</v>
      </c>
      <c r="B730" t="s">
        <v>24</v>
      </c>
      <c r="C730">
        <v>2.755942653</v>
      </c>
    </row>
    <row r="731" spans="1:3" x14ac:dyDescent="0.35">
      <c r="A731" t="s">
        <v>152</v>
      </c>
      <c r="B731" t="s">
        <v>25</v>
      </c>
      <c r="C731">
        <v>2.6841176080000002</v>
      </c>
    </row>
    <row r="732" spans="1:3" x14ac:dyDescent="0.35">
      <c r="A732" t="s">
        <v>153</v>
      </c>
      <c r="B732" t="s">
        <v>4</v>
      </c>
      <c r="C732">
        <v>385.2</v>
      </c>
    </row>
    <row r="733" spans="1:3" x14ac:dyDescent="0.35">
      <c r="A733" t="s">
        <v>153</v>
      </c>
      <c r="B733" t="s">
        <v>5</v>
      </c>
      <c r="C733">
        <v>387.25020143</v>
      </c>
    </row>
    <row r="734" spans="1:3" x14ac:dyDescent="0.35">
      <c r="A734" t="s">
        <v>153</v>
      </c>
      <c r="B734" t="s">
        <v>6</v>
      </c>
      <c r="C734">
        <v>395.38007170899999</v>
      </c>
    </row>
    <row r="735" spans="1:3" x14ac:dyDescent="0.35">
      <c r="A735" t="s">
        <v>153</v>
      </c>
      <c r="B735" t="s">
        <v>7</v>
      </c>
      <c r="C735">
        <v>399.24234003999999</v>
      </c>
    </row>
    <row r="736" spans="1:3" x14ac:dyDescent="0.35">
      <c r="A736" t="s">
        <v>153</v>
      </c>
      <c r="B736" t="s">
        <v>8</v>
      </c>
      <c r="C736">
        <v>400.00910879499997</v>
      </c>
    </row>
    <row r="737" spans="1:3" x14ac:dyDescent="0.35">
      <c r="A737" t="s">
        <v>153</v>
      </c>
      <c r="B737" t="s">
        <v>9</v>
      </c>
      <c r="C737">
        <v>400.16546693700002</v>
      </c>
    </row>
    <row r="738" spans="1:3" x14ac:dyDescent="0.35">
      <c r="A738" t="s">
        <v>153</v>
      </c>
      <c r="B738" t="s">
        <v>10</v>
      </c>
      <c r="C738">
        <v>406.35739039100002</v>
      </c>
    </row>
    <row r="739" spans="1:3" x14ac:dyDescent="0.35">
      <c r="A739" t="s">
        <v>153</v>
      </c>
      <c r="B739" t="s">
        <v>11</v>
      </c>
      <c r="C739">
        <v>409.48403756800002</v>
      </c>
    </row>
    <row r="740" spans="1:3" x14ac:dyDescent="0.35">
      <c r="A740" t="s">
        <v>153</v>
      </c>
      <c r="B740" t="s">
        <v>12</v>
      </c>
      <c r="C740">
        <v>410.645207212</v>
      </c>
    </row>
    <row r="741" spans="1:3" x14ac:dyDescent="0.35">
      <c r="A741" t="s">
        <v>153</v>
      </c>
      <c r="B741" t="s">
        <v>13</v>
      </c>
      <c r="C741">
        <v>411.115501107</v>
      </c>
    </row>
    <row r="742" spans="1:3" x14ac:dyDescent="0.35">
      <c r="A742" t="s">
        <v>153</v>
      </c>
      <c r="B742" t="s">
        <v>14</v>
      </c>
      <c r="C742">
        <v>417.53208657699997</v>
      </c>
    </row>
    <row r="743" spans="1:3" x14ac:dyDescent="0.35">
      <c r="A743" t="s">
        <v>153</v>
      </c>
      <c r="B743" t="s">
        <v>15</v>
      </c>
      <c r="C743">
        <v>420.81526642799997</v>
      </c>
    </row>
    <row r="744" spans="1:3" x14ac:dyDescent="0.35">
      <c r="A744" t="s">
        <v>153</v>
      </c>
      <c r="B744" t="s">
        <v>16</v>
      </c>
      <c r="C744">
        <v>422.00201087699998</v>
      </c>
    </row>
    <row r="745" spans="1:3" x14ac:dyDescent="0.35">
      <c r="A745" t="s">
        <v>153</v>
      </c>
      <c r="B745" t="s">
        <v>17</v>
      </c>
      <c r="C745">
        <v>422.48366991799998</v>
      </c>
    </row>
    <row r="746" spans="1:3" x14ac:dyDescent="0.35">
      <c r="A746" t="s">
        <v>153</v>
      </c>
      <c r="B746" t="s">
        <v>18</v>
      </c>
      <c r="C746">
        <v>429.06611737499998</v>
      </c>
    </row>
    <row r="747" spans="1:3" x14ac:dyDescent="0.35">
      <c r="A747" t="s">
        <v>153</v>
      </c>
      <c r="B747" t="s">
        <v>19</v>
      </c>
      <c r="C747">
        <v>432.42554649499999</v>
      </c>
    </row>
    <row r="748" spans="1:3" x14ac:dyDescent="0.35">
      <c r="A748" t="s">
        <v>153</v>
      </c>
      <c r="B748" t="s">
        <v>20</v>
      </c>
      <c r="C748">
        <v>433.63544005400001</v>
      </c>
    </row>
    <row r="749" spans="1:3" x14ac:dyDescent="0.35">
      <c r="A749" t="s">
        <v>153</v>
      </c>
      <c r="B749" t="s">
        <v>21</v>
      </c>
      <c r="C749">
        <v>434.12468310499997</v>
      </c>
    </row>
    <row r="750" spans="1:3" x14ac:dyDescent="0.35">
      <c r="A750" t="s">
        <v>153</v>
      </c>
      <c r="B750" t="s">
        <v>22</v>
      </c>
      <c r="C750">
        <v>440.89192277900003</v>
      </c>
    </row>
    <row r="751" spans="1:3" x14ac:dyDescent="0.35">
      <c r="A751" t="s">
        <v>153</v>
      </c>
      <c r="B751" t="s">
        <v>23</v>
      </c>
      <c r="C751">
        <v>444.34796822999999</v>
      </c>
    </row>
    <row r="752" spans="1:3" x14ac:dyDescent="0.35">
      <c r="A752" t="s">
        <v>153</v>
      </c>
      <c r="B752" t="s">
        <v>24</v>
      </c>
      <c r="C752">
        <v>445.58618410600002</v>
      </c>
    </row>
    <row r="753" spans="1:3" x14ac:dyDescent="0.35">
      <c r="A753" t="s">
        <v>153</v>
      </c>
      <c r="B753" t="s">
        <v>25</v>
      </c>
      <c r="C753">
        <v>445.77710016700001</v>
      </c>
    </row>
    <row r="754" spans="1:3" x14ac:dyDescent="0.35">
      <c r="A754" t="s">
        <v>154</v>
      </c>
      <c r="B754" t="s">
        <v>28</v>
      </c>
      <c r="C754">
        <v>2.8647568290000001</v>
      </c>
    </row>
    <row r="755" spans="1:3" x14ac:dyDescent="0.35">
      <c r="A755" t="s">
        <v>154</v>
      </c>
      <c r="B755" t="s">
        <v>29</v>
      </c>
      <c r="C755">
        <v>2.5590551179999999</v>
      </c>
    </row>
    <row r="756" spans="1:3" x14ac:dyDescent="0.35">
      <c r="A756" t="s">
        <v>154</v>
      </c>
      <c r="B756" t="s">
        <v>30</v>
      </c>
      <c r="C756">
        <v>2.8141361260000002</v>
      </c>
    </row>
    <row r="757" spans="1:3" x14ac:dyDescent="0.35">
      <c r="A757" t="s">
        <v>154</v>
      </c>
      <c r="B757" t="s">
        <v>31</v>
      </c>
      <c r="C757">
        <v>2.7958387519999999</v>
      </c>
    </row>
    <row r="758" spans="1:3" x14ac:dyDescent="0.35">
      <c r="A758" t="s">
        <v>154</v>
      </c>
      <c r="B758" t="s">
        <v>32</v>
      </c>
      <c r="C758">
        <v>2.5906735749999998</v>
      </c>
    </row>
    <row r="759" spans="1:3" x14ac:dyDescent="0.35">
      <c r="A759" t="s">
        <v>154</v>
      </c>
      <c r="B759" t="s">
        <v>33</v>
      </c>
      <c r="C759">
        <v>2.9430582209999998</v>
      </c>
    </row>
    <row r="760" spans="1:3" x14ac:dyDescent="0.35">
      <c r="A760" t="s">
        <v>154</v>
      </c>
      <c r="B760" t="s">
        <v>34</v>
      </c>
      <c r="C760">
        <v>2.5461489500000001</v>
      </c>
    </row>
    <row r="761" spans="1:3" x14ac:dyDescent="0.35">
      <c r="A761" t="s">
        <v>154</v>
      </c>
      <c r="B761" t="s">
        <v>35</v>
      </c>
      <c r="C761">
        <v>2.5300442759999999</v>
      </c>
    </row>
    <row r="762" spans="1:3" x14ac:dyDescent="0.35">
      <c r="A762" t="s">
        <v>154</v>
      </c>
      <c r="B762" t="s">
        <v>36</v>
      </c>
      <c r="C762">
        <v>2.525252525</v>
      </c>
    </row>
    <row r="763" spans="1:3" x14ac:dyDescent="0.35">
      <c r="A763" t="s">
        <v>154</v>
      </c>
      <c r="B763" t="s">
        <v>37</v>
      </c>
      <c r="C763">
        <v>2.2995649469999999</v>
      </c>
    </row>
    <row r="764" spans="1:3" x14ac:dyDescent="0.35">
      <c r="A764" t="s">
        <v>154</v>
      </c>
      <c r="B764" t="s">
        <v>38</v>
      </c>
      <c r="C764">
        <v>2.172563625</v>
      </c>
    </row>
    <row r="765" spans="1:3" x14ac:dyDescent="0.35">
      <c r="A765" t="s">
        <v>154</v>
      </c>
      <c r="B765" t="s">
        <v>39</v>
      </c>
      <c r="C765">
        <v>2.1591610120000002</v>
      </c>
    </row>
    <row r="766" spans="1:3" x14ac:dyDescent="0.35">
      <c r="A766" t="s">
        <v>154</v>
      </c>
      <c r="B766" t="s">
        <v>40</v>
      </c>
      <c r="C766">
        <v>2.0935960589999998</v>
      </c>
    </row>
    <row r="767" spans="1:3" x14ac:dyDescent="0.35">
      <c r="A767" t="s">
        <v>154</v>
      </c>
      <c r="B767" t="s">
        <v>41</v>
      </c>
      <c r="C767">
        <v>2.0656136090000001</v>
      </c>
    </row>
    <row r="768" spans="1:3" x14ac:dyDescent="0.35">
      <c r="A768" t="s">
        <v>154</v>
      </c>
      <c r="B768" t="s">
        <v>42</v>
      </c>
      <c r="C768">
        <v>2.12636695</v>
      </c>
    </row>
    <row r="769" spans="1:3" x14ac:dyDescent="0.35">
      <c r="A769" t="s">
        <v>154</v>
      </c>
      <c r="B769" t="s">
        <v>43</v>
      </c>
      <c r="C769">
        <v>2.1135265699999999</v>
      </c>
    </row>
    <row r="770" spans="1:3" x14ac:dyDescent="0.35">
      <c r="A770" t="s">
        <v>154</v>
      </c>
      <c r="B770" t="s">
        <v>44</v>
      </c>
      <c r="C770">
        <v>1.869722557</v>
      </c>
    </row>
    <row r="771" spans="1:3" x14ac:dyDescent="0.35">
      <c r="A771" t="s">
        <v>154</v>
      </c>
      <c r="B771" t="s">
        <v>45</v>
      </c>
      <c r="C771">
        <v>2.2619047619999999</v>
      </c>
    </row>
    <row r="772" spans="1:3" x14ac:dyDescent="0.35">
      <c r="A772" t="s">
        <v>154</v>
      </c>
      <c r="B772" t="s">
        <v>46</v>
      </c>
      <c r="C772">
        <v>2.3795359899999999</v>
      </c>
    </row>
    <row r="773" spans="1:3" x14ac:dyDescent="0.35">
      <c r="A773" t="s">
        <v>154</v>
      </c>
      <c r="B773" t="s">
        <v>47</v>
      </c>
      <c r="C773">
        <v>1.9515079829999999</v>
      </c>
    </row>
    <row r="774" spans="1:3" x14ac:dyDescent="0.35">
      <c r="A774" t="s">
        <v>154</v>
      </c>
      <c r="B774" t="s">
        <v>48</v>
      </c>
      <c r="C774">
        <v>2.368265246</v>
      </c>
    </row>
    <row r="775" spans="1:3" x14ac:dyDescent="0.35">
      <c r="A775" t="s">
        <v>154</v>
      </c>
      <c r="B775" t="s">
        <v>49</v>
      </c>
      <c r="C775">
        <v>1.862630966</v>
      </c>
    </row>
    <row r="776" spans="1:3" x14ac:dyDescent="0.35">
      <c r="A776" t="s">
        <v>154</v>
      </c>
      <c r="B776" t="s">
        <v>50</v>
      </c>
      <c r="C776">
        <v>1.9755955839999999</v>
      </c>
    </row>
    <row r="777" spans="1:3" x14ac:dyDescent="0.35">
      <c r="A777" t="s">
        <v>154</v>
      </c>
      <c r="B777" t="s">
        <v>51</v>
      </c>
      <c r="C777">
        <v>2.6102088170000002</v>
      </c>
    </row>
    <row r="778" spans="1:3" x14ac:dyDescent="0.35">
      <c r="A778" t="s">
        <v>154</v>
      </c>
      <c r="B778" t="s">
        <v>52</v>
      </c>
      <c r="C778">
        <v>2.8918449970000002</v>
      </c>
    </row>
    <row r="779" spans="1:3" x14ac:dyDescent="0.35">
      <c r="A779" t="s">
        <v>154</v>
      </c>
      <c r="B779" t="s">
        <v>53</v>
      </c>
      <c r="C779">
        <v>2.914285714</v>
      </c>
    </row>
    <row r="780" spans="1:3" x14ac:dyDescent="0.35">
      <c r="A780" t="s">
        <v>154</v>
      </c>
      <c r="B780" t="s">
        <v>54</v>
      </c>
      <c r="C780">
        <v>2.8490028490000001</v>
      </c>
    </row>
    <row r="781" spans="1:3" x14ac:dyDescent="0.35">
      <c r="A781" t="s">
        <v>154</v>
      </c>
      <c r="B781" t="s">
        <v>55</v>
      </c>
      <c r="C781">
        <v>2.6003391749999998</v>
      </c>
    </row>
    <row r="782" spans="1:3" x14ac:dyDescent="0.35">
      <c r="A782" t="s">
        <v>154</v>
      </c>
      <c r="B782" t="s">
        <v>56</v>
      </c>
      <c r="C782">
        <v>2.304665542</v>
      </c>
    </row>
    <row r="783" spans="1:3" x14ac:dyDescent="0.35">
      <c r="A783" t="s">
        <v>154</v>
      </c>
      <c r="B783" t="s">
        <v>57</v>
      </c>
      <c r="C783">
        <v>2.1654636310000002</v>
      </c>
    </row>
    <row r="784" spans="1:3" x14ac:dyDescent="0.35">
      <c r="A784" t="s">
        <v>154</v>
      </c>
      <c r="B784" t="s">
        <v>58</v>
      </c>
      <c r="C784">
        <v>2.1052631580000001</v>
      </c>
    </row>
    <row r="785" spans="1:3" x14ac:dyDescent="0.35">
      <c r="A785" t="s">
        <v>154</v>
      </c>
      <c r="B785" t="s">
        <v>59</v>
      </c>
      <c r="C785">
        <v>2.2589531680000001</v>
      </c>
    </row>
    <row r="786" spans="1:3" x14ac:dyDescent="0.35">
      <c r="A786" t="s">
        <v>154</v>
      </c>
      <c r="B786" t="s">
        <v>60</v>
      </c>
      <c r="C786">
        <v>2.1978021980000002</v>
      </c>
    </row>
    <row r="787" spans="1:3" x14ac:dyDescent="0.35">
      <c r="A787" t="s">
        <v>154</v>
      </c>
      <c r="B787" t="s">
        <v>61</v>
      </c>
      <c r="C787">
        <v>2.2282608700000002</v>
      </c>
    </row>
    <row r="788" spans="1:3" x14ac:dyDescent="0.35">
      <c r="A788" t="s">
        <v>154</v>
      </c>
      <c r="B788" t="s">
        <v>62</v>
      </c>
      <c r="C788">
        <v>2.3874118289999999</v>
      </c>
    </row>
    <row r="789" spans="1:3" x14ac:dyDescent="0.35">
      <c r="A789" t="s">
        <v>154</v>
      </c>
      <c r="B789" t="s">
        <v>63</v>
      </c>
      <c r="C789">
        <v>2.2629310340000002</v>
      </c>
    </row>
    <row r="790" spans="1:3" x14ac:dyDescent="0.35">
      <c r="A790" t="s">
        <v>154</v>
      </c>
      <c r="B790" t="s">
        <v>64</v>
      </c>
      <c r="C790">
        <v>2.2043010750000001</v>
      </c>
    </row>
    <row r="791" spans="1:3" x14ac:dyDescent="0.35">
      <c r="A791" t="s">
        <v>154</v>
      </c>
      <c r="B791" t="s">
        <v>65</v>
      </c>
      <c r="C791">
        <v>2.8176501859999998</v>
      </c>
    </row>
    <row r="792" spans="1:3" x14ac:dyDescent="0.35">
      <c r="A792" t="s">
        <v>154</v>
      </c>
      <c r="B792" t="s">
        <v>66</v>
      </c>
      <c r="C792">
        <v>3.2326444090000002</v>
      </c>
    </row>
    <row r="793" spans="1:3" x14ac:dyDescent="0.35">
      <c r="A793" t="s">
        <v>154</v>
      </c>
      <c r="B793" t="s">
        <v>67</v>
      </c>
      <c r="C793">
        <v>3.4773445729999999</v>
      </c>
    </row>
    <row r="794" spans="1:3" x14ac:dyDescent="0.35">
      <c r="A794" t="s">
        <v>154</v>
      </c>
      <c r="B794" t="s">
        <v>68</v>
      </c>
      <c r="C794">
        <v>3.7348763809999999</v>
      </c>
    </row>
    <row r="795" spans="1:3" x14ac:dyDescent="0.35">
      <c r="A795" t="s">
        <v>154</v>
      </c>
      <c r="B795" t="s">
        <v>69</v>
      </c>
      <c r="C795">
        <v>3.4126163389999999</v>
      </c>
    </row>
    <row r="796" spans="1:3" x14ac:dyDescent="0.35">
      <c r="A796" t="s">
        <v>154</v>
      </c>
      <c r="B796" t="s">
        <v>70</v>
      </c>
      <c r="C796">
        <v>2.72073922</v>
      </c>
    </row>
    <row r="797" spans="1:3" x14ac:dyDescent="0.35">
      <c r="A797" t="s">
        <v>154</v>
      </c>
      <c r="B797" t="s">
        <v>71</v>
      </c>
      <c r="C797">
        <v>3.1059063139999998</v>
      </c>
    </row>
    <row r="798" spans="1:3" x14ac:dyDescent="0.35">
      <c r="A798" t="s">
        <v>154</v>
      </c>
      <c r="B798" t="s">
        <v>72</v>
      </c>
      <c r="C798">
        <v>3.4989858009999999</v>
      </c>
    </row>
    <row r="799" spans="1:3" x14ac:dyDescent="0.35">
      <c r="A799" t="s">
        <v>154</v>
      </c>
      <c r="B799" t="s">
        <v>73</v>
      </c>
      <c r="C799">
        <v>4.3833333330000004</v>
      </c>
    </row>
    <row r="800" spans="1:3" x14ac:dyDescent="0.35">
      <c r="A800" t="s">
        <v>154</v>
      </c>
      <c r="B800" t="s">
        <v>74</v>
      </c>
      <c r="C800">
        <v>5.3473263370000002</v>
      </c>
    </row>
    <row r="801" spans="1:3" x14ac:dyDescent="0.35">
      <c r="A801" t="s">
        <v>154</v>
      </c>
      <c r="B801" t="s">
        <v>75</v>
      </c>
      <c r="C801">
        <v>3.7860082300000002</v>
      </c>
    </row>
    <row r="802" spans="1:3" x14ac:dyDescent="0.35">
      <c r="A802" t="s">
        <v>154</v>
      </c>
      <c r="B802" t="s">
        <v>76</v>
      </c>
      <c r="C802">
        <v>2.3844520660000001</v>
      </c>
    </row>
    <row r="803" spans="1:3" x14ac:dyDescent="0.35">
      <c r="A803" t="s">
        <v>154</v>
      </c>
      <c r="B803" t="s">
        <v>77</v>
      </c>
      <c r="C803">
        <v>1.4370110169999999</v>
      </c>
    </row>
    <row r="804" spans="1:3" x14ac:dyDescent="0.35">
      <c r="A804" t="s">
        <v>154</v>
      </c>
      <c r="B804" t="s">
        <v>78</v>
      </c>
      <c r="C804">
        <v>1.312460468</v>
      </c>
    </row>
    <row r="805" spans="1:3" x14ac:dyDescent="0.35">
      <c r="A805" t="s">
        <v>154</v>
      </c>
      <c r="B805" t="s">
        <v>79</v>
      </c>
      <c r="C805">
        <v>2.7914353690000002</v>
      </c>
    </row>
    <row r="806" spans="1:3" x14ac:dyDescent="0.35">
      <c r="A806" t="s">
        <v>154</v>
      </c>
      <c r="B806" t="s">
        <v>80</v>
      </c>
      <c r="C806">
        <v>4.5461796139999997</v>
      </c>
    </row>
    <row r="807" spans="1:3" x14ac:dyDescent="0.35">
      <c r="A807" t="s">
        <v>154</v>
      </c>
      <c r="B807" t="s">
        <v>81</v>
      </c>
      <c r="C807">
        <v>5.1629151579999997</v>
      </c>
    </row>
    <row r="808" spans="1:3" x14ac:dyDescent="0.35">
      <c r="A808" t="s">
        <v>154</v>
      </c>
      <c r="B808" t="s">
        <v>82</v>
      </c>
      <c r="C808">
        <v>4.6823786480000003</v>
      </c>
    </row>
    <row r="809" spans="1:3" x14ac:dyDescent="0.35">
      <c r="A809" t="s">
        <v>154</v>
      </c>
      <c r="B809" t="s">
        <v>83</v>
      </c>
      <c r="C809">
        <v>4.6597747260000002</v>
      </c>
    </row>
    <row r="810" spans="1:3" x14ac:dyDescent="0.35">
      <c r="A810" t="s">
        <v>154</v>
      </c>
      <c r="B810" t="s">
        <v>84</v>
      </c>
      <c r="C810">
        <v>5.3402502289999996</v>
      </c>
    </row>
    <row r="811" spans="1:3" x14ac:dyDescent="0.35">
      <c r="A811" t="s">
        <v>154</v>
      </c>
      <c r="B811" t="s">
        <v>85</v>
      </c>
      <c r="C811">
        <v>5.178865439</v>
      </c>
    </row>
    <row r="812" spans="1:3" x14ac:dyDescent="0.35">
      <c r="A812" t="s">
        <v>154</v>
      </c>
      <c r="B812" t="s">
        <v>86</v>
      </c>
      <c r="C812">
        <v>5.3526166689999997</v>
      </c>
    </row>
    <row r="813" spans="1:3" x14ac:dyDescent="0.35">
      <c r="A813" t="s">
        <v>154</v>
      </c>
      <c r="B813" t="s">
        <v>87</v>
      </c>
      <c r="C813">
        <v>5.2779006339999999</v>
      </c>
    </row>
    <row r="814" spans="1:3" x14ac:dyDescent="0.35">
      <c r="A814" t="s">
        <v>154</v>
      </c>
      <c r="B814" t="s">
        <v>88</v>
      </c>
      <c r="C814">
        <v>3.8238702199999999</v>
      </c>
    </row>
    <row r="815" spans="1:3" x14ac:dyDescent="0.35">
      <c r="A815" t="s">
        <v>154</v>
      </c>
      <c r="B815" t="s">
        <v>89</v>
      </c>
      <c r="C815">
        <v>3.1450120959999999</v>
      </c>
    </row>
    <row r="816" spans="1:3" x14ac:dyDescent="0.35">
      <c r="A816" t="s">
        <v>154</v>
      </c>
      <c r="B816" t="s">
        <v>90</v>
      </c>
      <c r="C816">
        <v>2.9012170959999999</v>
      </c>
    </row>
    <row r="817" spans="1:3" x14ac:dyDescent="0.35">
      <c r="A817" t="s">
        <v>154</v>
      </c>
      <c r="B817" t="s">
        <v>91</v>
      </c>
      <c r="C817">
        <v>3.0107828040000002</v>
      </c>
    </row>
    <row r="818" spans="1:3" x14ac:dyDescent="0.35">
      <c r="A818" t="s">
        <v>154</v>
      </c>
      <c r="B818" t="s">
        <v>92</v>
      </c>
      <c r="C818">
        <v>3.2366071430000001</v>
      </c>
    </row>
    <row r="819" spans="1:3" x14ac:dyDescent="0.35">
      <c r="A819" t="s">
        <v>154</v>
      </c>
      <c r="B819" t="s">
        <v>93</v>
      </c>
      <c r="C819">
        <v>3.062913907</v>
      </c>
    </row>
    <row r="820" spans="1:3" x14ac:dyDescent="0.35">
      <c r="A820" t="s">
        <v>154</v>
      </c>
      <c r="B820" t="s">
        <v>94</v>
      </c>
      <c r="C820">
        <v>3.218264338</v>
      </c>
    </row>
    <row r="821" spans="1:3" x14ac:dyDescent="0.35">
      <c r="A821" t="s">
        <v>154</v>
      </c>
      <c r="B821" t="s">
        <v>95</v>
      </c>
      <c r="C821">
        <v>2.7052746060000001</v>
      </c>
    </row>
    <row r="822" spans="1:3" x14ac:dyDescent="0.35">
      <c r="A822" t="s">
        <v>154</v>
      </c>
      <c r="B822" t="s">
        <v>96</v>
      </c>
      <c r="C822">
        <v>2.675675676</v>
      </c>
    </row>
    <row r="823" spans="1:3" x14ac:dyDescent="0.35">
      <c r="A823" t="s">
        <v>154</v>
      </c>
      <c r="B823" t="s">
        <v>97</v>
      </c>
      <c r="C823">
        <v>2.597054886</v>
      </c>
    </row>
    <row r="824" spans="1:3" x14ac:dyDescent="0.35">
      <c r="A824" t="s">
        <v>154</v>
      </c>
      <c r="B824" t="s">
        <v>98</v>
      </c>
      <c r="C824">
        <v>2.4783477679999999</v>
      </c>
    </row>
    <row r="825" spans="1:3" x14ac:dyDescent="0.35">
      <c r="A825" t="s">
        <v>154</v>
      </c>
      <c r="B825" t="s">
        <v>99</v>
      </c>
      <c r="C825">
        <v>2.0251489079999998</v>
      </c>
    </row>
    <row r="826" spans="1:3" x14ac:dyDescent="0.35">
      <c r="A826" t="s">
        <v>154</v>
      </c>
      <c r="B826" t="s">
        <v>100</v>
      </c>
      <c r="C826">
        <v>1.026585944</v>
      </c>
    </row>
    <row r="827" spans="1:3" x14ac:dyDescent="0.35">
      <c r="A827" t="s">
        <v>154</v>
      </c>
      <c r="B827" t="s">
        <v>101</v>
      </c>
      <c r="C827">
        <v>1.0046972860000001</v>
      </c>
    </row>
    <row r="828" spans="1:3" x14ac:dyDescent="0.35">
      <c r="A828" t="s">
        <v>154</v>
      </c>
      <c r="B828" t="s">
        <v>102</v>
      </c>
      <c r="C828">
        <v>1.02717462</v>
      </c>
    </row>
    <row r="829" spans="1:3" x14ac:dyDescent="0.35">
      <c r="A829" t="s">
        <v>154</v>
      </c>
      <c r="B829" t="s">
        <v>103</v>
      </c>
      <c r="C829">
        <v>1.0508562530000001</v>
      </c>
    </row>
    <row r="830" spans="1:3" x14ac:dyDescent="0.35">
      <c r="A830" t="s">
        <v>154</v>
      </c>
      <c r="B830" t="s">
        <v>104</v>
      </c>
      <c r="C830">
        <v>1.4721208960000001</v>
      </c>
    </row>
    <row r="831" spans="1:3" x14ac:dyDescent="0.35">
      <c r="A831" t="s">
        <v>154</v>
      </c>
      <c r="B831" t="s">
        <v>105</v>
      </c>
      <c r="C831">
        <v>1.5243508589999999</v>
      </c>
    </row>
    <row r="832" spans="1:3" x14ac:dyDescent="0.35">
      <c r="A832" t="s">
        <v>154</v>
      </c>
      <c r="B832" t="s">
        <v>106</v>
      </c>
      <c r="C832">
        <v>2.007722008</v>
      </c>
    </row>
    <row r="833" spans="1:3" x14ac:dyDescent="0.35">
      <c r="A833" t="s">
        <v>154</v>
      </c>
      <c r="B833" t="s">
        <v>107</v>
      </c>
      <c r="C833">
        <v>2.4778533829999998</v>
      </c>
    </row>
    <row r="834" spans="1:3" x14ac:dyDescent="0.35">
      <c r="A834" t="s">
        <v>154</v>
      </c>
      <c r="B834" t="s">
        <v>108</v>
      </c>
      <c r="C834">
        <v>3.2610091149999998</v>
      </c>
    </row>
    <row r="835" spans="1:3" x14ac:dyDescent="0.35">
      <c r="A835" t="s">
        <v>154</v>
      </c>
      <c r="B835" t="s">
        <v>109</v>
      </c>
      <c r="C835">
        <v>3.8300038170000001</v>
      </c>
    </row>
    <row r="836" spans="1:3" x14ac:dyDescent="0.35">
      <c r="A836" t="s">
        <v>154</v>
      </c>
      <c r="B836" t="s">
        <v>110</v>
      </c>
      <c r="C836">
        <v>4.0247287409999997</v>
      </c>
    </row>
    <row r="837" spans="1:3" x14ac:dyDescent="0.35">
      <c r="A837" t="s">
        <v>154</v>
      </c>
      <c r="B837" t="s">
        <v>111</v>
      </c>
      <c r="C837">
        <v>4.0967176150000002</v>
      </c>
    </row>
    <row r="838" spans="1:3" x14ac:dyDescent="0.35">
      <c r="A838" t="s">
        <v>154</v>
      </c>
      <c r="B838" t="s">
        <v>112</v>
      </c>
      <c r="C838">
        <v>3.6802188240000002</v>
      </c>
    </row>
    <row r="839" spans="1:3" x14ac:dyDescent="0.35">
      <c r="A839" t="s">
        <v>154</v>
      </c>
      <c r="B839" t="s">
        <v>113</v>
      </c>
      <c r="C839">
        <v>3.3823529410000002</v>
      </c>
    </row>
    <row r="840" spans="1:3" x14ac:dyDescent="0.35">
      <c r="A840" t="s">
        <v>154</v>
      </c>
      <c r="B840" t="s">
        <v>114</v>
      </c>
      <c r="C840">
        <v>3.2989690719999998</v>
      </c>
    </row>
    <row r="841" spans="1:3" x14ac:dyDescent="0.35">
      <c r="A841" t="s">
        <v>154</v>
      </c>
      <c r="B841" t="s">
        <v>115</v>
      </c>
      <c r="C841">
        <v>3.008785654</v>
      </c>
    </row>
    <row r="842" spans="1:3" x14ac:dyDescent="0.35">
      <c r="A842" t="s">
        <v>154</v>
      </c>
      <c r="B842" t="s">
        <v>116</v>
      </c>
      <c r="C842">
        <v>2.4463364909999998</v>
      </c>
    </row>
    <row r="843" spans="1:3" x14ac:dyDescent="0.35">
      <c r="A843" t="s">
        <v>154</v>
      </c>
      <c r="B843" t="s">
        <v>117</v>
      </c>
      <c r="C843">
        <v>2.9397818870000001</v>
      </c>
    </row>
    <row r="844" spans="1:3" x14ac:dyDescent="0.35">
      <c r="A844" t="s">
        <v>154</v>
      </c>
      <c r="B844" t="s">
        <v>118</v>
      </c>
      <c r="C844">
        <v>2.5830691560000001</v>
      </c>
    </row>
    <row r="845" spans="1:3" x14ac:dyDescent="0.35">
      <c r="A845" t="s">
        <v>154</v>
      </c>
      <c r="B845" t="s">
        <v>119</v>
      </c>
      <c r="C845">
        <v>2.2198855009999998</v>
      </c>
    </row>
    <row r="846" spans="1:3" x14ac:dyDescent="0.35">
      <c r="A846" t="s">
        <v>154</v>
      </c>
      <c r="B846" t="s">
        <v>120</v>
      </c>
      <c r="C846">
        <v>2.668851691</v>
      </c>
    </row>
    <row r="847" spans="1:3" x14ac:dyDescent="0.35">
      <c r="A847" t="s">
        <v>154</v>
      </c>
      <c r="B847" t="s">
        <v>121</v>
      </c>
      <c r="C847">
        <v>1.3818516810000001</v>
      </c>
    </row>
    <row r="848" spans="1:3" x14ac:dyDescent="0.35">
      <c r="A848" t="s">
        <v>154</v>
      </c>
      <c r="B848" t="s">
        <v>122</v>
      </c>
      <c r="C848">
        <v>1.3391324250000001</v>
      </c>
    </row>
    <row r="849" spans="1:3" x14ac:dyDescent="0.35">
      <c r="A849" t="s">
        <v>154</v>
      </c>
      <c r="B849" t="s">
        <v>123</v>
      </c>
      <c r="C849">
        <v>1.360155446</v>
      </c>
    </row>
    <row r="850" spans="1:3" x14ac:dyDescent="0.35">
      <c r="A850" t="s">
        <v>154</v>
      </c>
      <c r="B850" t="s">
        <v>124</v>
      </c>
      <c r="C850">
        <v>1.596169194</v>
      </c>
    </row>
    <row r="851" spans="1:3" x14ac:dyDescent="0.35">
      <c r="A851" t="s">
        <v>154</v>
      </c>
      <c r="B851" t="s">
        <v>125</v>
      </c>
      <c r="C851">
        <v>3.509768287</v>
      </c>
    </row>
    <row r="852" spans="1:3" x14ac:dyDescent="0.35">
      <c r="A852" t="s">
        <v>154</v>
      </c>
      <c r="B852" t="s">
        <v>126</v>
      </c>
      <c r="C852">
        <v>4.5967924099999999</v>
      </c>
    </row>
    <row r="853" spans="1:3" x14ac:dyDescent="0.35">
      <c r="A853" t="s">
        <v>154</v>
      </c>
      <c r="B853" t="s">
        <v>127</v>
      </c>
      <c r="C853">
        <v>7.0252593589999996</v>
      </c>
    </row>
    <row r="854" spans="1:3" x14ac:dyDescent="0.35">
      <c r="A854" t="s">
        <v>154</v>
      </c>
      <c r="B854" t="s">
        <v>128</v>
      </c>
      <c r="C854">
        <v>8.4838963080000003</v>
      </c>
    </row>
    <row r="855" spans="1:3" x14ac:dyDescent="0.35">
      <c r="A855" t="s">
        <v>154</v>
      </c>
      <c r="B855" t="s">
        <v>129</v>
      </c>
      <c r="C855">
        <v>11.631734884</v>
      </c>
    </row>
    <row r="856" spans="1:3" x14ac:dyDescent="0.35">
      <c r="A856" t="s">
        <v>154</v>
      </c>
      <c r="B856" t="s">
        <v>130</v>
      </c>
      <c r="C856">
        <v>12.320483748999999</v>
      </c>
    </row>
    <row r="857" spans="1:3" x14ac:dyDescent="0.35">
      <c r="A857" t="s">
        <v>154</v>
      </c>
      <c r="B857" t="s">
        <v>131</v>
      </c>
      <c r="C857">
        <v>13.423243072</v>
      </c>
    </row>
    <row r="858" spans="1:3" x14ac:dyDescent="0.35">
      <c r="A858" t="s">
        <v>154</v>
      </c>
      <c r="B858" t="s">
        <v>132</v>
      </c>
      <c r="C858">
        <v>12.703010240999999</v>
      </c>
    </row>
    <row r="859" spans="1:3" x14ac:dyDescent="0.35">
      <c r="A859" t="s">
        <v>154</v>
      </c>
      <c r="B859" t="s">
        <v>133</v>
      </c>
      <c r="C859">
        <v>10.085520495000001</v>
      </c>
    </row>
    <row r="860" spans="1:3" x14ac:dyDescent="0.35">
      <c r="A860" t="s">
        <v>154</v>
      </c>
      <c r="B860" t="s">
        <v>134</v>
      </c>
      <c r="C860">
        <v>7.7581234380000001</v>
      </c>
    </row>
    <row r="861" spans="1:3" x14ac:dyDescent="0.35">
      <c r="A861" t="s">
        <v>154</v>
      </c>
      <c r="B861" t="s">
        <v>135</v>
      </c>
      <c r="C861">
        <v>4.3009753829999999</v>
      </c>
    </row>
    <row r="862" spans="1:3" x14ac:dyDescent="0.35">
      <c r="A862" t="s">
        <v>154</v>
      </c>
      <c r="B862" t="s">
        <v>136</v>
      </c>
      <c r="C862">
        <v>3.542909592</v>
      </c>
    </row>
    <row r="863" spans="1:3" x14ac:dyDescent="0.35">
      <c r="A863" t="s">
        <v>154</v>
      </c>
      <c r="B863" t="s">
        <v>137</v>
      </c>
      <c r="C863">
        <v>2.0716135370000002</v>
      </c>
    </row>
    <row r="864" spans="1:3" x14ac:dyDescent="0.35">
      <c r="A864" t="s">
        <v>154</v>
      </c>
      <c r="B864" t="s">
        <v>138</v>
      </c>
      <c r="C864">
        <v>2.5158354890000001</v>
      </c>
    </row>
    <row r="865" spans="1:3" x14ac:dyDescent="0.35">
      <c r="A865" t="s">
        <v>154</v>
      </c>
      <c r="B865" t="s">
        <v>4</v>
      </c>
      <c r="C865">
        <v>2.921268258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17B7C-5907-44C5-93B5-A7883EFAD0F1}">
  <dimension ref="B3:R142"/>
  <sheetViews>
    <sheetView workbookViewId="0">
      <selection sqref="A1:XFD1048576"/>
    </sheetView>
  </sheetViews>
  <sheetFormatPr defaultRowHeight="14.5" x14ac:dyDescent="0.35"/>
  <cols>
    <col min="2" max="2" width="12.453125" bestFit="1" customWidth="1"/>
    <col min="3" max="3" width="15.6328125" bestFit="1" customWidth="1"/>
    <col min="4" max="4" width="16" bestFit="1" customWidth="1"/>
    <col min="5" max="5" width="12.453125" bestFit="1" customWidth="1"/>
    <col min="6" max="6" width="15.36328125" bestFit="1" customWidth="1"/>
    <col min="7" max="7" width="18.7265625" bestFit="1" customWidth="1"/>
    <col min="8" max="8" width="23.81640625" bestFit="1" customWidth="1"/>
    <col min="9" max="9" width="18.08984375" bestFit="1" customWidth="1"/>
    <col min="10" max="10" width="23.1796875" bestFit="1" customWidth="1"/>
    <col min="11" max="11" width="11.81640625" bestFit="1" customWidth="1"/>
    <col min="12" max="12" width="15.90625" bestFit="1" customWidth="1"/>
    <col min="13" max="13" width="12.453125" bestFit="1" customWidth="1"/>
    <col min="14" max="14" width="15.26953125" bestFit="1" customWidth="1"/>
    <col min="15" max="15" width="11.90625" bestFit="1" customWidth="1"/>
    <col min="16" max="16" width="17.08984375" bestFit="1" customWidth="1"/>
    <col min="17" max="18" width="11.81640625" bestFit="1" customWidth="1"/>
  </cols>
  <sheetData>
    <row r="3" spans="2:18" x14ac:dyDescent="0.35">
      <c r="B3" s="1" t="s">
        <v>158</v>
      </c>
      <c r="C3" s="1" t="s">
        <v>155</v>
      </c>
    </row>
    <row r="4" spans="2:18" x14ac:dyDescent="0.35">
      <c r="B4" s="1" t="s">
        <v>157</v>
      </c>
      <c r="C4" t="s">
        <v>3</v>
      </c>
      <c r="D4" t="s">
        <v>26</v>
      </c>
      <c r="E4" t="s">
        <v>27</v>
      </c>
      <c r="F4" t="s">
        <v>139</v>
      </c>
      <c r="G4" t="s">
        <v>144</v>
      </c>
      <c r="H4" t="s">
        <v>145</v>
      </c>
      <c r="I4" t="s">
        <v>146</v>
      </c>
      <c r="J4" t="s">
        <v>147</v>
      </c>
      <c r="K4" t="s">
        <v>148</v>
      </c>
      <c r="L4" t="s">
        <v>149</v>
      </c>
      <c r="M4" t="s">
        <v>150</v>
      </c>
      <c r="N4" t="s">
        <v>151</v>
      </c>
      <c r="O4" t="s">
        <v>152</v>
      </c>
      <c r="P4" t="s">
        <v>153</v>
      </c>
      <c r="Q4" t="s">
        <v>154</v>
      </c>
      <c r="R4" t="s">
        <v>156</v>
      </c>
    </row>
    <row r="5" spans="2:18" x14ac:dyDescent="0.35">
      <c r="B5" s="2" t="s">
        <v>140</v>
      </c>
      <c r="F5">
        <v>68.099999999999994</v>
      </c>
      <c r="R5">
        <v>68.099999999999994</v>
      </c>
    </row>
    <row r="6" spans="2:18" x14ac:dyDescent="0.35">
      <c r="B6" s="2" t="s">
        <v>141</v>
      </c>
      <c r="F6">
        <v>68.900000000000006</v>
      </c>
      <c r="N6">
        <v>216.7</v>
      </c>
      <c r="R6">
        <v>285.60000000000002</v>
      </c>
    </row>
    <row r="7" spans="2:18" x14ac:dyDescent="0.35">
      <c r="B7" s="2" t="s">
        <v>142</v>
      </c>
      <c r="F7">
        <v>68.900000000000006</v>
      </c>
      <c r="N7">
        <v>227.63</v>
      </c>
      <c r="R7">
        <v>296.52999999999997</v>
      </c>
    </row>
    <row r="8" spans="2:18" x14ac:dyDescent="0.35">
      <c r="B8" s="2" t="s">
        <v>143</v>
      </c>
      <c r="F8">
        <v>69.400000000000006</v>
      </c>
      <c r="N8">
        <v>229.86</v>
      </c>
      <c r="R8">
        <v>299.26</v>
      </c>
    </row>
    <row r="9" spans="2:18" x14ac:dyDescent="0.35">
      <c r="B9" s="2" t="s">
        <v>28</v>
      </c>
      <c r="E9">
        <v>1.908957416</v>
      </c>
      <c r="F9">
        <v>69.400000000000006</v>
      </c>
      <c r="N9">
        <v>241.65</v>
      </c>
      <c r="Q9">
        <v>2.8647568290000001</v>
      </c>
      <c r="R9">
        <v>315.82371424500002</v>
      </c>
    </row>
    <row r="10" spans="2:18" x14ac:dyDescent="0.35">
      <c r="B10" s="2" t="s">
        <v>29</v>
      </c>
      <c r="E10">
        <v>1.5965166909999999</v>
      </c>
      <c r="F10">
        <v>70</v>
      </c>
      <c r="M10">
        <v>4.2316566680000003</v>
      </c>
      <c r="N10">
        <v>225.87</v>
      </c>
      <c r="Q10">
        <v>2.5590551179999999</v>
      </c>
      <c r="R10">
        <v>304.25722847700001</v>
      </c>
    </row>
    <row r="11" spans="2:18" x14ac:dyDescent="0.35">
      <c r="B11" s="2" t="s">
        <v>30</v>
      </c>
      <c r="E11">
        <v>2.0319303340000001</v>
      </c>
      <c r="F11">
        <v>70.3</v>
      </c>
      <c r="M11">
        <v>0.38659227699999998</v>
      </c>
      <c r="N11">
        <v>228.51</v>
      </c>
      <c r="Q11">
        <v>2.8141361260000002</v>
      </c>
      <c r="R11">
        <v>304.04265873700001</v>
      </c>
    </row>
    <row r="12" spans="2:18" x14ac:dyDescent="0.35">
      <c r="B12" s="2" t="s">
        <v>31</v>
      </c>
      <c r="E12">
        <v>1.729106628</v>
      </c>
      <c r="F12">
        <v>70.599999999999994</v>
      </c>
      <c r="M12">
        <v>2.3579570169999999</v>
      </c>
      <c r="N12">
        <v>235.28</v>
      </c>
      <c r="Q12">
        <v>2.7958387519999999</v>
      </c>
      <c r="R12">
        <v>312.762902397</v>
      </c>
    </row>
    <row r="13" spans="2:18" x14ac:dyDescent="0.35">
      <c r="B13" s="2" t="s">
        <v>32</v>
      </c>
      <c r="E13">
        <v>1.585014409</v>
      </c>
      <c r="F13">
        <v>70.5</v>
      </c>
      <c r="M13">
        <v>-0.87316366599999995</v>
      </c>
      <c r="N13">
        <v>239.54</v>
      </c>
      <c r="Q13">
        <v>2.5906735749999998</v>
      </c>
      <c r="R13">
        <v>313.34252431799996</v>
      </c>
    </row>
    <row r="14" spans="2:18" x14ac:dyDescent="0.35">
      <c r="B14" s="2" t="s">
        <v>33</v>
      </c>
      <c r="E14">
        <v>1.8571428569999999</v>
      </c>
      <c r="F14">
        <v>71.3</v>
      </c>
      <c r="M14">
        <v>14.769557710000001</v>
      </c>
      <c r="N14">
        <v>259.23</v>
      </c>
      <c r="Q14">
        <v>2.9430582209999998</v>
      </c>
      <c r="R14">
        <v>350.09975878800003</v>
      </c>
    </row>
    <row r="15" spans="2:18" x14ac:dyDescent="0.35">
      <c r="B15" s="2" t="s">
        <v>34</v>
      </c>
      <c r="E15">
        <v>1.280227596</v>
      </c>
      <c r="F15">
        <v>71.2</v>
      </c>
      <c r="M15">
        <v>19.911601243</v>
      </c>
      <c r="N15">
        <v>274.01</v>
      </c>
      <c r="Q15">
        <v>2.5461489500000001</v>
      </c>
      <c r="R15">
        <v>368.94797778899999</v>
      </c>
    </row>
    <row r="16" spans="2:18" x14ac:dyDescent="0.35">
      <c r="B16" s="2" t="s">
        <v>35</v>
      </c>
      <c r="E16">
        <v>1.416430595</v>
      </c>
      <c r="F16">
        <v>71.599999999999994</v>
      </c>
      <c r="M16">
        <v>25.055253315000002</v>
      </c>
      <c r="N16">
        <v>294.23</v>
      </c>
      <c r="Q16">
        <v>2.5300442759999999</v>
      </c>
      <c r="R16">
        <v>394.83172818600002</v>
      </c>
    </row>
    <row r="17" spans="2:18" x14ac:dyDescent="0.35">
      <c r="B17" s="2" t="s">
        <v>36</v>
      </c>
      <c r="E17">
        <v>1.5602836879999999</v>
      </c>
      <c r="F17">
        <v>71.599999999999994</v>
      </c>
      <c r="M17">
        <v>29.853051682</v>
      </c>
      <c r="N17">
        <v>311.05</v>
      </c>
      <c r="Q17">
        <v>2.525252525</v>
      </c>
      <c r="R17">
        <v>416.58858789499999</v>
      </c>
    </row>
    <row r="18" spans="2:18" x14ac:dyDescent="0.35">
      <c r="B18" s="2" t="s">
        <v>37</v>
      </c>
      <c r="E18">
        <v>1.402524544</v>
      </c>
      <c r="F18">
        <v>72.3</v>
      </c>
      <c r="M18">
        <v>20.113412798999999</v>
      </c>
      <c r="N18">
        <v>311.37</v>
      </c>
      <c r="Q18">
        <v>2.2995649469999999</v>
      </c>
      <c r="R18">
        <v>407.48550229</v>
      </c>
    </row>
    <row r="19" spans="2:18" x14ac:dyDescent="0.35">
      <c r="B19" s="2" t="s">
        <v>38</v>
      </c>
      <c r="E19">
        <v>1.2640449439999999</v>
      </c>
      <c r="F19">
        <v>72.099999999999994</v>
      </c>
      <c r="M19">
        <v>11.043392577000001</v>
      </c>
      <c r="N19">
        <v>304.27</v>
      </c>
      <c r="Q19">
        <v>2.172563625</v>
      </c>
      <c r="R19">
        <v>390.85000114600001</v>
      </c>
    </row>
    <row r="20" spans="2:18" x14ac:dyDescent="0.35">
      <c r="B20" s="2" t="s">
        <v>39</v>
      </c>
      <c r="E20">
        <v>1.2569832400000001</v>
      </c>
      <c r="F20">
        <v>72.5</v>
      </c>
      <c r="M20">
        <v>0.710328654</v>
      </c>
      <c r="N20">
        <v>296.32</v>
      </c>
      <c r="Q20">
        <v>2.1591610120000002</v>
      </c>
      <c r="R20">
        <v>372.946472906</v>
      </c>
    </row>
    <row r="21" spans="2:18" x14ac:dyDescent="0.35">
      <c r="B21" s="2" t="s">
        <v>40</v>
      </c>
      <c r="E21">
        <v>0.69832402199999999</v>
      </c>
      <c r="F21">
        <v>72.099999999999994</v>
      </c>
      <c r="M21">
        <v>-7.5357659540000004</v>
      </c>
      <c r="N21">
        <v>287.61</v>
      </c>
      <c r="Q21">
        <v>2.0935960589999998</v>
      </c>
      <c r="R21">
        <v>354.96615412699998</v>
      </c>
    </row>
    <row r="22" spans="2:18" x14ac:dyDescent="0.35">
      <c r="B22" s="2" t="s">
        <v>41</v>
      </c>
      <c r="E22">
        <v>0.553250346</v>
      </c>
      <c r="F22">
        <v>72.7</v>
      </c>
      <c r="M22">
        <v>-2.3348427919999999</v>
      </c>
      <c r="N22">
        <v>304.10000000000002</v>
      </c>
      <c r="Q22">
        <v>2.0656136090000001</v>
      </c>
      <c r="R22">
        <v>377.08402116300005</v>
      </c>
    </row>
    <row r="23" spans="2:18" x14ac:dyDescent="0.35">
      <c r="B23" s="2" t="s">
        <v>42</v>
      </c>
      <c r="E23">
        <v>0.83217753100000003</v>
      </c>
      <c r="F23">
        <v>72.7</v>
      </c>
      <c r="M23">
        <v>3.503467315</v>
      </c>
      <c r="N23">
        <v>314.93</v>
      </c>
      <c r="Q23">
        <v>2.12636695</v>
      </c>
      <c r="R23">
        <v>394.09201179600001</v>
      </c>
    </row>
    <row r="24" spans="2:18" x14ac:dyDescent="0.35">
      <c r="B24" s="2" t="s">
        <v>43</v>
      </c>
      <c r="E24">
        <v>0.96551724100000003</v>
      </c>
      <c r="F24">
        <v>73.2</v>
      </c>
      <c r="M24">
        <v>7.7652537800000001</v>
      </c>
      <c r="N24">
        <v>319.33</v>
      </c>
      <c r="Q24">
        <v>2.1135265699999999</v>
      </c>
      <c r="R24">
        <v>403.37429759099996</v>
      </c>
    </row>
    <row r="25" spans="2:18" x14ac:dyDescent="0.35">
      <c r="B25" s="2" t="s">
        <v>44</v>
      </c>
      <c r="E25">
        <v>0.97087378599999996</v>
      </c>
      <c r="F25">
        <v>72.8</v>
      </c>
      <c r="M25">
        <v>34.616320711999997</v>
      </c>
      <c r="N25">
        <v>387.17</v>
      </c>
      <c r="Q25">
        <v>1.869722557</v>
      </c>
      <c r="R25">
        <v>497.42691705499999</v>
      </c>
    </row>
    <row r="26" spans="2:18" x14ac:dyDescent="0.35">
      <c r="B26" s="2" t="s">
        <v>45</v>
      </c>
      <c r="E26">
        <v>1.5130674</v>
      </c>
      <c r="F26">
        <v>73.8</v>
      </c>
      <c r="M26">
        <v>-13.04505097</v>
      </c>
      <c r="N26">
        <v>264.43</v>
      </c>
      <c r="Q26">
        <v>2.2619047619999999</v>
      </c>
      <c r="R26">
        <v>328.95992119199997</v>
      </c>
    </row>
    <row r="27" spans="2:18" x14ac:dyDescent="0.35">
      <c r="B27" s="2" t="s">
        <v>46</v>
      </c>
      <c r="E27">
        <v>1.5130674</v>
      </c>
      <c r="F27">
        <v>73.8</v>
      </c>
      <c r="M27">
        <v>-7.87794113</v>
      </c>
      <c r="N27">
        <v>290.12</v>
      </c>
      <c r="Q27">
        <v>2.3795359899999999</v>
      </c>
      <c r="R27">
        <v>359.93466226000004</v>
      </c>
    </row>
    <row r="28" spans="2:18" x14ac:dyDescent="0.35">
      <c r="B28" s="2" t="s">
        <v>47</v>
      </c>
      <c r="E28">
        <v>0.95628415300000003</v>
      </c>
      <c r="F28">
        <v>73.900000000000006</v>
      </c>
      <c r="M28">
        <v>-8.9468574830000005</v>
      </c>
      <c r="N28">
        <v>290.76</v>
      </c>
      <c r="Q28">
        <v>1.9515079829999999</v>
      </c>
      <c r="R28">
        <v>358.62093465300001</v>
      </c>
    </row>
    <row r="29" spans="2:18" x14ac:dyDescent="0.35">
      <c r="B29" s="2" t="s">
        <v>48</v>
      </c>
      <c r="E29">
        <v>1.5109890109999999</v>
      </c>
      <c r="F29">
        <v>73.900000000000006</v>
      </c>
      <c r="M29">
        <v>-20.701500632999998</v>
      </c>
      <c r="N29">
        <v>307.02</v>
      </c>
      <c r="Q29">
        <v>2.368265246</v>
      </c>
      <c r="R29">
        <v>364.09775362400001</v>
      </c>
    </row>
    <row r="30" spans="2:18" x14ac:dyDescent="0.35">
      <c r="B30" s="2" t="s">
        <v>49</v>
      </c>
      <c r="E30">
        <v>0.94850948499999999</v>
      </c>
      <c r="F30">
        <v>74.5</v>
      </c>
      <c r="M30">
        <v>16.650909503000001</v>
      </c>
      <c r="N30">
        <v>308.45999999999998</v>
      </c>
      <c r="Q30">
        <v>1.862630966</v>
      </c>
      <c r="R30">
        <v>402.42204995399993</v>
      </c>
    </row>
    <row r="31" spans="2:18" x14ac:dyDescent="0.35">
      <c r="B31" s="2" t="s">
        <v>50</v>
      </c>
      <c r="E31">
        <v>1.0840108399999999</v>
      </c>
      <c r="F31">
        <v>74.599999999999994</v>
      </c>
      <c r="M31">
        <v>5.7769198949999998</v>
      </c>
      <c r="N31">
        <v>306.88</v>
      </c>
      <c r="Q31">
        <v>1.9755955839999999</v>
      </c>
      <c r="R31">
        <v>390.31652631900005</v>
      </c>
    </row>
    <row r="32" spans="2:18" x14ac:dyDescent="0.35">
      <c r="B32" s="2" t="s">
        <v>51</v>
      </c>
      <c r="E32">
        <v>1.4884979700000001</v>
      </c>
      <c r="F32">
        <v>75</v>
      </c>
      <c r="M32">
        <v>3.5252441879999998</v>
      </c>
      <c r="N32">
        <v>301.01</v>
      </c>
      <c r="Q32">
        <v>2.6102088170000002</v>
      </c>
      <c r="R32">
        <v>383.633950975</v>
      </c>
    </row>
    <row r="33" spans="2:18" x14ac:dyDescent="0.35">
      <c r="B33" s="2" t="s">
        <v>52</v>
      </c>
      <c r="E33">
        <v>1.4884979700000001</v>
      </c>
      <c r="F33">
        <v>75</v>
      </c>
      <c r="M33">
        <v>-5.1788157119999996</v>
      </c>
      <c r="N33">
        <v>291.12</v>
      </c>
      <c r="Q33">
        <v>2.8918449970000002</v>
      </c>
      <c r="R33">
        <v>365.32152725500003</v>
      </c>
    </row>
    <row r="34" spans="2:18" x14ac:dyDescent="0.35">
      <c r="B34" s="2" t="s">
        <v>53</v>
      </c>
      <c r="E34">
        <v>1.342281879</v>
      </c>
      <c r="F34">
        <v>75.5</v>
      </c>
      <c r="M34">
        <v>-2.697270311</v>
      </c>
      <c r="N34">
        <v>300.14</v>
      </c>
      <c r="Q34">
        <v>2.914285714</v>
      </c>
      <c r="R34">
        <v>377.19929728199997</v>
      </c>
    </row>
    <row r="35" spans="2:18" x14ac:dyDescent="0.35">
      <c r="B35" s="2" t="s">
        <v>54</v>
      </c>
      <c r="E35">
        <v>1.3404825739999999</v>
      </c>
      <c r="F35">
        <v>75.599999999999994</v>
      </c>
      <c r="M35">
        <v>-2.538451512</v>
      </c>
      <c r="N35">
        <v>299.08999999999997</v>
      </c>
      <c r="Q35">
        <v>2.8490028490000001</v>
      </c>
      <c r="R35">
        <v>376.34103391099995</v>
      </c>
    </row>
    <row r="36" spans="2:18" x14ac:dyDescent="0.35">
      <c r="B36" s="2" t="s">
        <v>55</v>
      </c>
      <c r="E36">
        <v>1.3333333329999999</v>
      </c>
      <c r="F36">
        <v>76</v>
      </c>
      <c r="M36">
        <v>-0.647819009</v>
      </c>
      <c r="N36">
        <v>299.06</v>
      </c>
      <c r="Q36">
        <v>2.6003391749999998</v>
      </c>
      <c r="R36">
        <v>378.34585349899999</v>
      </c>
    </row>
    <row r="37" spans="2:18" x14ac:dyDescent="0.35">
      <c r="B37" s="2" t="s">
        <v>56</v>
      </c>
      <c r="E37">
        <v>1.2</v>
      </c>
      <c r="F37">
        <v>75.900000000000006</v>
      </c>
      <c r="M37">
        <v>0.41907117300000002</v>
      </c>
      <c r="N37">
        <v>292.33999999999997</v>
      </c>
      <c r="Q37">
        <v>2.304665542</v>
      </c>
      <c r="R37">
        <v>372.16373671499997</v>
      </c>
    </row>
    <row r="38" spans="2:18" x14ac:dyDescent="0.35">
      <c r="B38" s="2" t="s">
        <v>57</v>
      </c>
      <c r="E38">
        <v>1.324503311</v>
      </c>
      <c r="F38">
        <v>76.5</v>
      </c>
      <c r="M38">
        <v>-1.75917905</v>
      </c>
      <c r="N38">
        <v>294.86</v>
      </c>
      <c r="Q38">
        <v>2.1654636310000002</v>
      </c>
      <c r="R38">
        <v>373.09078789200004</v>
      </c>
    </row>
    <row r="39" spans="2:18" x14ac:dyDescent="0.35">
      <c r="B39" s="2" t="s">
        <v>58</v>
      </c>
      <c r="E39">
        <v>1.3227513230000001</v>
      </c>
      <c r="F39">
        <v>76.599999999999994</v>
      </c>
      <c r="M39">
        <v>-1.5814637730000001</v>
      </c>
      <c r="N39">
        <v>294.36</v>
      </c>
      <c r="Q39">
        <v>2.1052631580000001</v>
      </c>
      <c r="R39">
        <v>372.80655070800003</v>
      </c>
    </row>
    <row r="40" spans="2:18" x14ac:dyDescent="0.35">
      <c r="B40" s="2" t="s">
        <v>59</v>
      </c>
      <c r="E40">
        <v>1.447368421</v>
      </c>
      <c r="F40">
        <v>77.099999999999994</v>
      </c>
      <c r="M40">
        <v>-1.324149</v>
      </c>
      <c r="N40">
        <v>295.10000000000002</v>
      </c>
      <c r="Q40">
        <v>2.2589531680000001</v>
      </c>
      <c r="R40">
        <v>374.58217258899998</v>
      </c>
    </row>
    <row r="41" spans="2:18" x14ac:dyDescent="0.35">
      <c r="B41" s="2" t="s">
        <v>60</v>
      </c>
      <c r="E41">
        <v>1.8445322790000001</v>
      </c>
      <c r="F41">
        <v>77.3</v>
      </c>
      <c r="M41">
        <v>-2.2268591369999999</v>
      </c>
      <c r="N41">
        <v>285.83</v>
      </c>
      <c r="Q41">
        <v>2.1978021980000002</v>
      </c>
      <c r="R41">
        <v>364.94547533999997</v>
      </c>
    </row>
    <row r="42" spans="2:18" x14ac:dyDescent="0.35">
      <c r="B42" s="2" t="s">
        <v>61</v>
      </c>
      <c r="E42">
        <v>1.9607843140000001</v>
      </c>
      <c r="F42">
        <v>78</v>
      </c>
      <c r="M42">
        <v>-47.585294716</v>
      </c>
      <c r="N42">
        <v>154.55000000000001</v>
      </c>
      <c r="Q42">
        <v>2.2282608700000002</v>
      </c>
      <c r="R42">
        <v>189.15375046800003</v>
      </c>
    </row>
    <row r="43" spans="2:18" x14ac:dyDescent="0.35">
      <c r="B43" s="2" t="s">
        <v>62</v>
      </c>
      <c r="E43">
        <v>2.3498694520000001</v>
      </c>
      <c r="F43">
        <v>78.400000000000006</v>
      </c>
      <c r="M43">
        <v>-15.433482809999999</v>
      </c>
      <c r="N43">
        <v>248.93</v>
      </c>
      <c r="Q43">
        <v>2.3874118289999999</v>
      </c>
      <c r="R43">
        <v>316.63379847099998</v>
      </c>
    </row>
    <row r="44" spans="2:18" x14ac:dyDescent="0.35">
      <c r="B44" s="2" t="s">
        <v>63</v>
      </c>
      <c r="E44">
        <v>2.2049286640000001</v>
      </c>
      <c r="F44">
        <v>78.8</v>
      </c>
      <c r="M44">
        <v>18.092172144999999</v>
      </c>
      <c r="N44">
        <v>348.49</v>
      </c>
      <c r="Q44">
        <v>2.2629310340000002</v>
      </c>
      <c r="R44">
        <v>449.85003184300001</v>
      </c>
    </row>
    <row r="45" spans="2:18" x14ac:dyDescent="0.35">
      <c r="B45" s="2" t="s">
        <v>64</v>
      </c>
      <c r="E45">
        <v>1.811125485</v>
      </c>
      <c r="F45">
        <v>78.7</v>
      </c>
      <c r="M45">
        <v>53.577301192999997</v>
      </c>
      <c r="N45">
        <v>438.97</v>
      </c>
      <c r="Q45">
        <v>2.2043010750000001</v>
      </c>
      <c r="R45">
        <v>575.26272775300004</v>
      </c>
    </row>
    <row r="46" spans="2:18" x14ac:dyDescent="0.35">
      <c r="B46" s="2" t="s">
        <v>65</v>
      </c>
      <c r="E46">
        <v>2.307692308</v>
      </c>
      <c r="F46">
        <v>79.8</v>
      </c>
      <c r="M46">
        <v>185.73924296300001</v>
      </c>
      <c r="N46">
        <v>441.61</v>
      </c>
      <c r="Q46">
        <v>2.8176501859999998</v>
      </c>
      <c r="R46">
        <v>712.27458545700006</v>
      </c>
    </row>
    <row r="47" spans="2:18" x14ac:dyDescent="0.35">
      <c r="B47" s="2" t="s">
        <v>66</v>
      </c>
      <c r="E47">
        <v>2.423469388</v>
      </c>
      <c r="F47">
        <v>80.3</v>
      </c>
      <c r="M47">
        <v>33.836821596</v>
      </c>
      <c r="N47">
        <v>333.16</v>
      </c>
      <c r="Q47">
        <v>3.2326444090000002</v>
      </c>
      <c r="R47">
        <v>452.95293539300002</v>
      </c>
    </row>
    <row r="48" spans="2:18" x14ac:dyDescent="0.35">
      <c r="B48" s="2" t="s">
        <v>67</v>
      </c>
      <c r="E48">
        <v>2.6649746190000001</v>
      </c>
      <c r="F48">
        <v>80.900000000000006</v>
      </c>
      <c r="M48">
        <v>-22.755315791000001</v>
      </c>
      <c r="N48">
        <v>269.19</v>
      </c>
      <c r="Q48">
        <v>3.4773445729999999</v>
      </c>
      <c r="R48">
        <v>333.47700340099999</v>
      </c>
    </row>
    <row r="49" spans="2:18" x14ac:dyDescent="0.35">
      <c r="B49" s="2" t="s">
        <v>68</v>
      </c>
      <c r="E49">
        <v>2.9224904700000001</v>
      </c>
      <c r="F49">
        <v>81</v>
      </c>
      <c r="M49">
        <v>-24.393466524000001</v>
      </c>
      <c r="N49">
        <v>331.89</v>
      </c>
      <c r="Q49">
        <v>3.7348763809999999</v>
      </c>
      <c r="R49">
        <v>395.15390032699997</v>
      </c>
    </row>
    <row r="50" spans="2:18" x14ac:dyDescent="0.35">
      <c r="B50" s="2" t="s">
        <v>69</v>
      </c>
      <c r="E50">
        <v>2.5062656639999998</v>
      </c>
      <c r="F50">
        <v>81.8</v>
      </c>
      <c r="M50">
        <v>-28.156065305999999</v>
      </c>
      <c r="N50">
        <v>317.27</v>
      </c>
      <c r="Q50">
        <v>3.4126163389999999</v>
      </c>
      <c r="R50">
        <v>376.832816697</v>
      </c>
    </row>
    <row r="51" spans="2:18" x14ac:dyDescent="0.35">
      <c r="B51" s="2" t="s">
        <v>70</v>
      </c>
      <c r="E51">
        <v>1.7434620169999999</v>
      </c>
      <c r="F51">
        <v>81.7</v>
      </c>
      <c r="M51">
        <v>-7.5549285629999998</v>
      </c>
      <c r="N51">
        <v>307.99</v>
      </c>
      <c r="Q51">
        <v>2.72073922</v>
      </c>
      <c r="R51">
        <v>386.59927267400002</v>
      </c>
    </row>
    <row r="52" spans="2:18" x14ac:dyDescent="0.35">
      <c r="B52" s="2" t="s">
        <v>71</v>
      </c>
      <c r="E52">
        <v>2.101359703</v>
      </c>
      <c r="F52">
        <v>82.6</v>
      </c>
      <c r="M52">
        <v>14.350458784000001</v>
      </c>
      <c r="N52">
        <v>307.82</v>
      </c>
      <c r="Q52">
        <v>3.1059063139999998</v>
      </c>
      <c r="R52">
        <v>409.97772480099997</v>
      </c>
    </row>
    <row r="53" spans="2:18" x14ac:dyDescent="0.35">
      <c r="B53" s="2" t="s">
        <v>72</v>
      </c>
      <c r="E53">
        <v>2.3757201650000002</v>
      </c>
      <c r="F53">
        <v>82.924333333000007</v>
      </c>
      <c r="M53">
        <v>-16.975503931999999</v>
      </c>
      <c r="N53">
        <v>275.55</v>
      </c>
      <c r="Q53">
        <v>3.4989858009999999</v>
      </c>
      <c r="R53">
        <v>347.37353536700004</v>
      </c>
    </row>
    <row r="54" spans="2:18" x14ac:dyDescent="0.35">
      <c r="B54" s="2" t="s">
        <v>73</v>
      </c>
      <c r="E54">
        <v>3.4197229010000001</v>
      </c>
      <c r="F54">
        <v>84.597333332999995</v>
      </c>
      <c r="M54">
        <v>-22.750338828</v>
      </c>
      <c r="N54">
        <v>245.09</v>
      </c>
      <c r="Q54">
        <v>4.3833333330000004</v>
      </c>
      <c r="R54">
        <v>314.74005073900003</v>
      </c>
    </row>
    <row r="55" spans="2:18" x14ac:dyDescent="0.35">
      <c r="B55" s="2" t="s">
        <v>74</v>
      </c>
      <c r="E55">
        <v>4.8388412890000003</v>
      </c>
      <c r="F55">
        <v>85.653333333000006</v>
      </c>
      <c r="M55">
        <v>-16.698594109999998</v>
      </c>
      <c r="N55">
        <v>256.56</v>
      </c>
      <c r="Q55">
        <v>5.3473263370000002</v>
      </c>
      <c r="R55">
        <v>335.70090684900003</v>
      </c>
    </row>
    <row r="56" spans="2:18" x14ac:dyDescent="0.35">
      <c r="B56" s="2" t="s">
        <v>75</v>
      </c>
      <c r="E56">
        <v>3.8240516549999999</v>
      </c>
      <c r="F56">
        <v>85.758666667</v>
      </c>
      <c r="M56">
        <v>-20.037684361</v>
      </c>
      <c r="N56">
        <v>246.14</v>
      </c>
      <c r="Q56">
        <v>3.7860082300000002</v>
      </c>
      <c r="R56">
        <v>319.47104219099998</v>
      </c>
    </row>
    <row r="57" spans="2:18" x14ac:dyDescent="0.35">
      <c r="B57" s="2" t="s">
        <v>76</v>
      </c>
      <c r="E57">
        <v>3.005551246</v>
      </c>
      <c r="F57">
        <v>85.416666667000001</v>
      </c>
      <c r="M57">
        <v>-7.987661042</v>
      </c>
      <c r="N57">
        <v>253.54</v>
      </c>
      <c r="Q57">
        <v>2.3844520660000001</v>
      </c>
      <c r="R57">
        <v>336.359008937</v>
      </c>
    </row>
    <row r="58" spans="2:18" x14ac:dyDescent="0.35">
      <c r="B58" s="2" t="s">
        <v>77</v>
      </c>
      <c r="E58">
        <v>2.088718321</v>
      </c>
      <c r="F58">
        <v>86.364333333000005</v>
      </c>
      <c r="M58">
        <v>11.587580073</v>
      </c>
      <c r="N58">
        <v>273.49</v>
      </c>
      <c r="Q58">
        <v>1.4370110169999999</v>
      </c>
      <c r="R58">
        <v>374.96764274399999</v>
      </c>
    </row>
    <row r="59" spans="2:18" x14ac:dyDescent="0.35">
      <c r="B59" s="2" t="s">
        <v>78</v>
      </c>
      <c r="E59">
        <v>1.4897260269999999</v>
      </c>
      <c r="F59">
        <v>86.929333333000002</v>
      </c>
      <c r="M59">
        <v>7.397879638</v>
      </c>
      <c r="N59">
        <v>275.54000000000002</v>
      </c>
      <c r="Q59">
        <v>1.312460468</v>
      </c>
      <c r="R59">
        <v>372.66939946600002</v>
      </c>
    </row>
    <row r="60" spans="2:18" x14ac:dyDescent="0.35">
      <c r="B60" s="2" t="s">
        <v>79</v>
      </c>
      <c r="E60">
        <v>2.1031887930000002</v>
      </c>
      <c r="F60">
        <v>87.562333332999998</v>
      </c>
      <c r="L60">
        <v>290.83999999999997</v>
      </c>
      <c r="M60">
        <v>18.160396521999999</v>
      </c>
      <c r="N60">
        <v>290.83999999999997</v>
      </c>
      <c r="Q60">
        <v>2.7914353690000002</v>
      </c>
      <c r="R60">
        <v>692.29735401699998</v>
      </c>
    </row>
    <row r="61" spans="2:18" x14ac:dyDescent="0.35">
      <c r="B61" s="2" t="s">
        <v>80</v>
      </c>
      <c r="E61">
        <v>3.2745365849999999</v>
      </c>
      <c r="F61">
        <v>88.213666666999998</v>
      </c>
      <c r="L61">
        <v>310.977755</v>
      </c>
      <c r="M61">
        <v>-13.51791946</v>
      </c>
      <c r="N61">
        <v>219.26666700000001</v>
      </c>
      <c r="Q61">
        <v>4.5461796139999997</v>
      </c>
      <c r="R61">
        <v>612.76088540600006</v>
      </c>
    </row>
    <row r="62" spans="2:18" x14ac:dyDescent="0.35">
      <c r="B62" s="2" t="s">
        <v>81</v>
      </c>
      <c r="E62">
        <v>3.4566738579999998</v>
      </c>
      <c r="F62">
        <v>89.349666666999994</v>
      </c>
      <c r="L62">
        <v>263.107056</v>
      </c>
      <c r="M62">
        <v>-18.278547662000001</v>
      </c>
      <c r="N62">
        <v>223.5</v>
      </c>
      <c r="Q62">
        <v>5.1629151579999997</v>
      </c>
      <c r="R62">
        <v>566.29776402100003</v>
      </c>
    </row>
    <row r="63" spans="2:18" x14ac:dyDescent="0.35">
      <c r="B63" s="2" t="s">
        <v>82</v>
      </c>
      <c r="E63">
        <v>3.0852646589999999</v>
      </c>
      <c r="F63">
        <v>89.611333333000005</v>
      </c>
      <c r="L63">
        <v>279.28384599999998</v>
      </c>
      <c r="M63">
        <v>-18.535723669999999</v>
      </c>
      <c r="N63">
        <v>224.466667</v>
      </c>
      <c r="Q63">
        <v>4.6823786480000003</v>
      </c>
      <c r="R63">
        <v>582.59376597000005</v>
      </c>
    </row>
    <row r="64" spans="2:18" x14ac:dyDescent="0.35">
      <c r="B64" s="2" t="s">
        <v>83</v>
      </c>
      <c r="E64">
        <v>3.3762614819999999</v>
      </c>
      <c r="F64">
        <v>90.518666667000005</v>
      </c>
      <c r="L64">
        <v>296.90782999999999</v>
      </c>
      <c r="M64">
        <v>-21.950213175999998</v>
      </c>
      <c r="N64">
        <v>227</v>
      </c>
      <c r="Q64">
        <v>4.6597747260000002</v>
      </c>
      <c r="R64">
        <v>600.51231969900005</v>
      </c>
    </row>
    <row r="65" spans="2:18" x14ac:dyDescent="0.35">
      <c r="B65" s="2" t="s">
        <v>84</v>
      </c>
      <c r="E65">
        <v>4.1184094680000003</v>
      </c>
      <c r="F65">
        <v>91.846666666999994</v>
      </c>
      <c r="L65">
        <v>302.59850699999998</v>
      </c>
      <c r="M65">
        <v>5.3207658779999996</v>
      </c>
      <c r="N65">
        <v>230.933333</v>
      </c>
      <c r="Q65">
        <v>5.3402502289999996</v>
      </c>
      <c r="R65">
        <v>640.15793224200002</v>
      </c>
    </row>
    <row r="66" spans="2:18" x14ac:dyDescent="0.35">
      <c r="B66" s="2" t="s">
        <v>85</v>
      </c>
      <c r="E66">
        <v>4.3771847680000002</v>
      </c>
      <c r="F66">
        <v>93.260666666999995</v>
      </c>
      <c r="L66">
        <v>306.34029099999998</v>
      </c>
      <c r="M66">
        <v>5.1155852350000002</v>
      </c>
      <c r="N66">
        <v>234.933333</v>
      </c>
      <c r="Q66">
        <v>5.178865439</v>
      </c>
      <c r="R66">
        <v>649.20592610900007</v>
      </c>
    </row>
    <row r="67" spans="2:18" x14ac:dyDescent="0.35">
      <c r="B67" s="2" t="s">
        <v>86</v>
      </c>
      <c r="E67">
        <v>4.7058779770000001</v>
      </c>
      <c r="F67">
        <v>93.828333333000003</v>
      </c>
      <c r="L67">
        <v>311.12984799999998</v>
      </c>
      <c r="M67">
        <v>5.2420549369999998</v>
      </c>
      <c r="N67">
        <v>236.23333299999999</v>
      </c>
      <c r="Q67">
        <v>5.3526166689999997</v>
      </c>
      <c r="R67">
        <v>656.49206391599989</v>
      </c>
    </row>
    <row r="68" spans="2:18" x14ac:dyDescent="0.35">
      <c r="B68" s="2" t="s">
        <v>87</v>
      </c>
      <c r="E68">
        <v>4.64581891</v>
      </c>
      <c r="F68">
        <v>94.724000000000004</v>
      </c>
      <c r="L68">
        <v>316.85687899999999</v>
      </c>
      <c r="M68">
        <v>5.1248163</v>
      </c>
      <c r="N68">
        <v>238.63333299999999</v>
      </c>
      <c r="Q68">
        <v>5.2779006339999999</v>
      </c>
      <c r="R68">
        <v>665.26274784400005</v>
      </c>
    </row>
    <row r="69" spans="2:18" x14ac:dyDescent="0.35">
      <c r="B69" s="2" t="s">
        <v>88</v>
      </c>
      <c r="E69">
        <v>3.4902373519999998</v>
      </c>
      <c r="F69">
        <v>95.052333333000007</v>
      </c>
      <c r="J69">
        <v>79.8</v>
      </c>
      <c r="L69">
        <v>323.353565</v>
      </c>
      <c r="M69">
        <v>3.7384529500000001</v>
      </c>
      <c r="N69">
        <v>239.566667</v>
      </c>
      <c r="Q69">
        <v>3.8238702199999999</v>
      </c>
      <c r="R69">
        <v>748.82512585500001</v>
      </c>
    </row>
    <row r="70" spans="2:18" x14ac:dyDescent="0.35">
      <c r="B70" s="2" t="s">
        <v>89</v>
      </c>
      <c r="E70">
        <v>2.7553595299999998</v>
      </c>
      <c r="F70">
        <v>95.830333332999999</v>
      </c>
      <c r="J70">
        <v>79.900000000000006</v>
      </c>
      <c r="L70">
        <v>329.535349</v>
      </c>
      <c r="M70">
        <v>3.1072644770000002</v>
      </c>
      <c r="N70">
        <v>242.23333299999999</v>
      </c>
      <c r="Q70">
        <v>3.1450120959999999</v>
      </c>
      <c r="R70">
        <v>756.50665143599997</v>
      </c>
    </row>
    <row r="71" spans="2:18" x14ac:dyDescent="0.35">
      <c r="B71" s="2" t="s">
        <v>90</v>
      </c>
      <c r="E71">
        <v>2.412561948</v>
      </c>
      <c r="F71">
        <v>96.091999999999999</v>
      </c>
      <c r="J71">
        <v>80.3</v>
      </c>
      <c r="L71">
        <v>335.70624099999998</v>
      </c>
      <c r="M71">
        <v>2.9067307790000001</v>
      </c>
      <c r="N71">
        <v>243.1</v>
      </c>
      <c r="Q71">
        <v>2.9012170959999999</v>
      </c>
      <c r="R71">
        <v>763.41875082299998</v>
      </c>
    </row>
    <row r="72" spans="2:18" x14ac:dyDescent="0.35">
      <c r="B72" s="2" t="s">
        <v>91</v>
      </c>
      <c r="E72">
        <v>2.6698619149999998</v>
      </c>
      <c r="F72">
        <v>97.253</v>
      </c>
      <c r="J72">
        <v>80.8</v>
      </c>
      <c r="L72">
        <v>341.43751600000002</v>
      </c>
      <c r="M72">
        <v>3.0870234710000002</v>
      </c>
      <c r="N72">
        <v>246</v>
      </c>
      <c r="Q72">
        <v>3.0107828040000002</v>
      </c>
      <c r="R72">
        <v>774.25818418999995</v>
      </c>
    </row>
    <row r="73" spans="2:18" x14ac:dyDescent="0.35">
      <c r="B73" s="2" t="s">
        <v>92</v>
      </c>
      <c r="E73">
        <v>2.7763653009999998</v>
      </c>
      <c r="F73">
        <v>97.691333333000003</v>
      </c>
      <c r="I73">
        <v>2.130325815</v>
      </c>
      <c r="J73">
        <v>81.5</v>
      </c>
      <c r="L73">
        <v>347.24930000000001</v>
      </c>
      <c r="M73">
        <v>3.255878665</v>
      </c>
      <c r="N73">
        <v>247.36666700000001</v>
      </c>
      <c r="Q73">
        <v>3.2366071430000001</v>
      </c>
      <c r="R73">
        <v>785.20647725699996</v>
      </c>
    </row>
    <row r="74" spans="2:18" x14ac:dyDescent="0.35">
      <c r="B74" s="2" t="s">
        <v>93</v>
      </c>
      <c r="E74">
        <v>2.6793882240000002</v>
      </c>
      <c r="F74">
        <v>98.397999999999996</v>
      </c>
      <c r="I74">
        <v>2.1276595739999999</v>
      </c>
      <c r="J74">
        <v>81.599999999999994</v>
      </c>
      <c r="L74">
        <v>352.52330899999998</v>
      </c>
      <c r="M74">
        <v>3.0961882529999998</v>
      </c>
      <c r="N74">
        <v>249.73333299999999</v>
      </c>
      <c r="Q74">
        <v>3.062913907</v>
      </c>
      <c r="R74">
        <v>793.22079195800006</v>
      </c>
    </row>
    <row r="75" spans="2:18" x14ac:dyDescent="0.35">
      <c r="B75" s="2" t="s">
        <v>94</v>
      </c>
      <c r="E75">
        <v>2.70886234</v>
      </c>
      <c r="F75">
        <v>98.694999999999993</v>
      </c>
      <c r="I75">
        <v>2.3661270239999999</v>
      </c>
      <c r="J75">
        <v>82.2</v>
      </c>
      <c r="L75">
        <v>356.99577199999999</v>
      </c>
      <c r="M75">
        <v>3.1948445080000001</v>
      </c>
      <c r="N75">
        <v>250.86666700000001</v>
      </c>
      <c r="Q75">
        <v>3.218264338</v>
      </c>
      <c r="R75">
        <v>800.24553720999995</v>
      </c>
    </row>
    <row r="76" spans="2:18" x14ac:dyDescent="0.35">
      <c r="B76" s="2" t="s">
        <v>95</v>
      </c>
      <c r="E76">
        <v>2.1027628969999999</v>
      </c>
      <c r="F76">
        <v>99.298000000000002</v>
      </c>
      <c r="I76">
        <v>1.8564356440000001</v>
      </c>
      <c r="J76">
        <v>82.3</v>
      </c>
      <c r="L76">
        <v>360.877634</v>
      </c>
      <c r="M76">
        <v>2.6287264229999998</v>
      </c>
      <c r="N76">
        <v>252.466667</v>
      </c>
      <c r="Q76">
        <v>2.7052746060000001</v>
      </c>
      <c r="R76">
        <v>804.23550057</v>
      </c>
    </row>
    <row r="77" spans="2:18" x14ac:dyDescent="0.35">
      <c r="B77" s="2" t="s">
        <v>96</v>
      </c>
      <c r="E77">
        <v>1.7391512039999999</v>
      </c>
      <c r="F77">
        <v>99.390333333000001</v>
      </c>
      <c r="I77">
        <v>1.349693252</v>
      </c>
      <c r="J77">
        <v>82.6</v>
      </c>
      <c r="L77">
        <v>364.24172199999998</v>
      </c>
      <c r="M77">
        <v>2.6276782070000002</v>
      </c>
      <c r="N77">
        <v>253.86666700000001</v>
      </c>
      <c r="Q77">
        <v>2.675675676</v>
      </c>
      <c r="R77">
        <v>808.4909206719999</v>
      </c>
    </row>
    <row r="78" spans="2:18" x14ac:dyDescent="0.35">
      <c r="B78" s="2" t="s">
        <v>97</v>
      </c>
      <c r="E78">
        <v>1.720563426</v>
      </c>
      <c r="F78">
        <v>100.09099999999999</v>
      </c>
      <c r="I78">
        <v>1.1029411760000001</v>
      </c>
      <c r="J78">
        <v>82.5</v>
      </c>
      <c r="L78">
        <v>367.12964699999998</v>
      </c>
      <c r="M78">
        <v>2.4959959989999998</v>
      </c>
      <c r="N78">
        <v>255.966667</v>
      </c>
      <c r="Q78">
        <v>2.597054886</v>
      </c>
      <c r="R78">
        <v>813.603869487</v>
      </c>
    </row>
    <row r="79" spans="2:18" x14ac:dyDescent="0.35">
      <c r="B79" s="2" t="s">
        <v>98</v>
      </c>
      <c r="E79">
        <v>1.456000811</v>
      </c>
      <c r="F79">
        <v>100.13200000000001</v>
      </c>
      <c r="I79">
        <v>1.581508516</v>
      </c>
      <c r="J79">
        <v>83.5</v>
      </c>
      <c r="L79">
        <v>369.26654500000001</v>
      </c>
      <c r="M79">
        <v>2.3917087399999999</v>
      </c>
      <c r="N79">
        <v>256.86666700000001</v>
      </c>
      <c r="Q79">
        <v>2.4783477679999999</v>
      </c>
      <c r="R79">
        <v>817.67277783500003</v>
      </c>
    </row>
    <row r="80" spans="2:18" x14ac:dyDescent="0.35">
      <c r="B80" s="2" t="s">
        <v>99</v>
      </c>
      <c r="E80">
        <v>0.93523199499999998</v>
      </c>
      <c r="F80">
        <v>100.226666667</v>
      </c>
      <c r="I80">
        <v>1.215066829</v>
      </c>
      <c r="J80">
        <v>83.3</v>
      </c>
      <c r="L80">
        <v>370.92641099999997</v>
      </c>
      <c r="M80">
        <v>1.9672561369999999</v>
      </c>
      <c r="N80">
        <v>257.433333</v>
      </c>
      <c r="Q80">
        <v>2.0251489079999998</v>
      </c>
      <c r="R80">
        <v>818.02911453600007</v>
      </c>
    </row>
    <row r="81" spans="2:18" x14ac:dyDescent="0.35">
      <c r="B81" s="2" t="s">
        <v>100</v>
      </c>
      <c r="E81">
        <v>0.100613406</v>
      </c>
      <c r="F81">
        <v>99.490333332999995</v>
      </c>
      <c r="I81">
        <v>0.96852300199999997</v>
      </c>
      <c r="J81">
        <v>83.4</v>
      </c>
      <c r="L81">
        <v>372.71173199999998</v>
      </c>
      <c r="M81">
        <v>0.99789902699999999</v>
      </c>
      <c r="N81">
        <v>256.39999999999998</v>
      </c>
      <c r="Q81">
        <v>1.026585944</v>
      </c>
      <c r="R81">
        <v>815.09568671199997</v>
      </c>
    </row>
    <row r="82" spans="2:18" x14ac:dyDescent="0.35">
      <c r="B82" s="2" t="s">
        <v>101</v>
      </c>
      <c r="E82">
        <v>-1.6651513999999999E-2</v>
      </c>
      <c r="F82">
        <v>100.074333333</v>
      </c>
      <c r="I82">
        <v>0.84848484800000001</v>
      </c>
      <c r="J82">
        <v>83.2</v>
      </c>
      <c r="M82">
        <v>0.97668967200000001</v>
      </c>
      <c r="N82">
        <v>258.46666699999997</v>
      </c>
      <c r="Q82">
        <v>1.0046972860000001</v>
      </c>
      <c r="R82">
        <v>444.55422062499997</v>
      </c>
    </row>
    <row r="83" spans="2:18" x14ac:dyDescent="0.35">
      <c r="B83" s="2" t="s">
        <v>102</v>
      </c>
      <c r="E83">
        <v>9.653923E-3</v>
      </c>
      <c r="F83">
        <v>100.141666667</v>
      </c>
      <c r="I83">
        <v>0</v>
      </c>
      <c r="J83">
        <v>83.5</v>
      </c>
      <c r="M83">
        <v>0.96029042200000003</v>
      </c>
      <c r="N83">
        <v>259.33333299999998</v>
      </c>
      <c r="Q83">
        <v>1.02717462</v>
      </c>
      <c r="R83">
        <v>444.97211863199999</v>
      </c>
    </row>
    <row r="84" spans="2:18" x14ac:dyDescent="0.35">
      <c r="B84" s="2" t="s">
        <v>103</v>
      </c>
      <c r="E84">
        <v>6.7181056000000003E-2</v>
      </c>
      <c r="F84">
        <v>100.294</v>
      </c>
      <c r="I84">
        <v>0.72028811500000001</v>
      </c>
      <c r="J84">
        <v>83.9</v>
      </c>
      <c r="M84">
        <v>0.98407380700000002</v>
      </c>
      <c r="N84">
        <v>259.96666699999997</v>
      </c>
      <c r="Q84">
        <v>1.0508562530000001</v>
      </c>
      <c r="R84">
        <v>446.98306623099995</v>
      </c>
    </row>
    <row r="85" spans="2:18" x14ac:dyDescent="0.35">
      <c r="B85" s="2" t="s">
        <v>104</v>
      </c>
      <c r="E85">
        <v>0.34676735800000003</v>
      </c>
      <c r="F85">
        <v>99.835333332999994</v>
      </c>
      <c r="I85">
        <v>1.1990407670000001</v>
      </c>
      <c r="J85">
        <v>84.4</v>
      </c>
      <c r="M85">
        <v>1.3910557720000001</v>
      </c>
      <c r="N85">
        <v>259.96666699999997</v>
      </c>
      <c r="Q85">
        <v>1.4721208960000001</v>
      </c>
      <c r="R85">
        <v>448.61098512599995</v>
      </c>
    </row>
    <row r="86" spans="2:18" x14ac:dyDescent="0.35">
      <c r="B86" s="2" t="s">
        <v>105</v>
      </c>
      <c r="E86">
        <v>0.35140545499999998</v>
      </c>
      <c r="F86">
        <v>100.426</v>
      </c>
      <c r="I86">
        <v>1.682692308</v>
      </c>
      <c r="J86">
        <v>84.6</v>
      </c>
      <c r="M86">
        <v>1.444415655</v>
      </c>
      <c r="N86">
        <v>262.2</v>
      </c>
      <c r="Q86">
        <v>1.5243508589999999</v>
      </c>
      <c r="R86">
        <v>452.22886427699996</v>
      </c>
    </row>
    <row r="87" spans="2:18" x14ac:dyDescent="0.35">
      <c r="B87" s="2" t="s">
        <v>106</v>
      </c>
      <c r="E87">
        <v>0.72630440200000002</v>
      </c>
      <c r="F87">
        <v>100.869</v>
      </c>
      <c r="I87">
        <v>2.395209581</v>
      </c>
      <c r="J87">
        <v>85.5</v>
      </c>
      <c r="M87">
        <v>1.889460157</v>
      </c>
      <c r="N87">
        <v>264.23333300000002</v>
      </c>
      <c r="Q87">
        <v>2.007722008</v>
      </c>
      <c r="R87">
        <v>457.62102914799999</v>
      </c>
    </row>
    <row r="88" spans="2:18" x14ac:dyDescent="0.35">
      <c r="B88" s="2" t="s">
        <v>107</v>
      </c>
      <c r="E88">
        <v>1.2111060149999999</v>
      </c>
      <c r="F88">
        <v>101.508666667</v>
      </c>
      <c r="I88">
        <v>2.6221692490000001</v>
      </c>
      <c r="J88">
        <v>86.1</v>
      </c>
      <c r="M88">
        <v>2.2438772889999998</v>
      </c>
      <c r="N88">
        <v>265.8</v>
      </c>
      <c r="Q88">
        <v>2.4778533829999998</v>
      </c>
      <c r="R88">
        <v>461.96367260300002</v>
      </c>
    </row>
    <row r="89" spans="2:18" x14ac:dyDescent="0.35">
      <c r="B89" s="2" t="s">
        <v>108</v>
      </c>
      <c r="E89">
        <v>2.1435296789999998</v>
      </c>
      <c r="F89">
        <v>101.97533333299999</v>
      </c>
      <c r="I89">
        <v>2.3696682459999998</v>
      </c>
      <c r="J89">
        <v>86.4</v>
      </c>
      <c r="M89">
        <v>2.9875622480000001</v>
      </c>
      <c r="N89">
        <v>267.73333300000002</v>
      </c>
      <c r="Q89">
        <v>3.2610091149999998</v>
      </c>
      <c r="R89">
        <v>466.87043562099996</v>
      </c>
    </row>
    <row r="90" spans="2:18" x14ac:dyDescent="0.35">
      <c r="B90" s="2" t="s">
        <v>109</v>
      </c>
      <c r="E90">
        <v>2.742981565</v>
      </c>
      <c r="F90">
        <v>103.180666667</v>
      </c>
      <c r="I90">
        <v>2.2458628840000001</v>
      </c>
      <c r="J90">
        <v>86.5</v>
      </c>
      <c r="M90">
        <v>3.5596235699999998</v>
      </c>
      <c r="N90">
        <v>271.53333300000003</v>
      </c>
      <c r="Q90">
        <v>3.8300038170000001</v>
      </c>
      <c r="R90">
        <v>473.59247150300001</v>
      </c>
    </row>
    <row r="91" spans="2:18" x14ac:dyDescent="0.35">
      <c r="B91" s="2" t="s">
        <v>110</v>
      </c>
      <c r="E91">
        <v>2.8168548649999998</v>
      </c>
      <c r="F91">
        <v>103.71033333299999</v>
      </c>
      <c r="I91">
        <v>1.2865497079999999</v>
      </c>
      <c r="J91">
        <v>86.6</v>
      </c>
      <c r="M91">
        <v>3.7845338759999998</v>
      </c>
      <c r="N91">
        <v>274.23333300000002</v>
      </c>
      <c r="Q91">
        <v>4.0247287409999997</v>
      </c>
      <c r="R91">
        <v>476.45633352300001</v>
      </c>
    </row>
    <row r="92" spans="2:18" x14ac:dyDescent="0.35">
      <c r="B92" s="2" t="s">
        <v>111</v>
      </c>
      <c r="E92">
        <v>3.0217452699999998</v>
      </c>
      <c r="F92">
        <v>104.57599999999999</v>
      </c>
      <c r="I92">
        <v>1.5098722419999999</v>
      </c>
      <c r="J92">
        <v>87.4</v>
      </c>
      <c r="M92">
        <v>3.987960873</v>
      </c>
      <c r="N92">
        <v>276.39999999999998</v>
      </c>
      <c r="Q92">
        <v>4.0967176150000002</v>
      </c>
      <c r="R92">
        <v>480.99229599999995</v>
      </c>
    </row>
    <row r="93" spans="2:18" x14ac:dyDescent="0.35">
      <c r="B93" s="2" t="s">
        <v>112</v>
      </c>
      <c r="E93">
        <v>2.7176506740000002</v>
      </c>
      <c r="F93">
        <v>104.746666667</v>
      </c>
      <c r="I93">
        <v>1.273148148</v>
      </c>
      <c r="J93">
        <v>87.5</v>
      </c>
      <c r="M93">
        <v>3.6354584210000001</v>
      </c>
      <c r="N93">
        <v>277.46666699999997</v>
      </c>
      <c r="Q93">
        <v>3.6802188240000002</v>
      </c>
      <c r="R93">
        <v>481.01980973399998</v>
      </c>
    </row>
    <row r="94" spans="2:18" x14ac:dyDescent="0.35">
      <c r="B94" s="2" t="s">
        <v>113</v>
      </c>
      <c r="E94">
        <v>2.4164733699999998</v>
      </c>
      <c r="F94">
        <v>105.67400000000001</v>
      </c>
      <c r="I94">
        <v>1.849710983</v>
      </c>
      <c r="J94">
        <v>88.1</v>
      </c>
      <c r="M94">
        <v>3.351338084</v>
      </c>
      <c r="N94">
        <v>280.63333299999999</v>
      </c>
      <c r="Q94">
        <v>3.3823529410000002</v>
      </c>
      <c r="R94">
        <v>485.40720837800001</v>
      </c>
    </row>
    <row r="95" spans="2:18" x14ac:dyDescent="0.35">
      <c r="B95" s="2" t="s">
        <v>114</v>
      </c>
      <c r="E95">
        <v>2.5153391979999999</v>
      </c>
      <c r="F95">
        <v>106.319</v>
      </c>
      <c r="I95">
        <v>2.3094688219999999</v>
      </c>
      <c r="J95">
        <v>88.6</v>
      </c>
      <c r="M95">
        <v>3.318342049</v>
      </c>
      <c r="N95">
        <v>283.33333299999998</v>
      </c>
      <c r="Q95">
        <v>3.2989690719999998</v>
      </c>
      <c r="R95">
        <v>489.69445214099994</v>
      </c>
    </row>
    <row r="96" spans="2:18" x14ac:dyDescent="0.35">
      <c r="B96" s="2" t="s">
        <v>115</v>
      </c>
      <c r="E96">
        <v>2.2682068540000002</v>
      </c>
      <c r="F96">
        <v>106.94799999999999</v>
      </c>
      <c r="I96">
        <v>2.1739130430000002</v>
      </c>
      <c r="J96">
        <v>89.3</v>
      </c>
      <c r="M96">
        <v>3.0752532559999999</v>
      </c>
      <c r="N96">
        <v>284.89999999999998</v>
      </c>
      <c r="Q96">
        <v>3.008785654</v>
      </c>
      <c r="R96">
        <v>491.67415880699997</v>
      </c>
    </row>
    <row r="97" spans="2:18" x14ac:dyDescent="0.35">
      <c r="B97" s="2" t="s">
        <v>116</v>
      </c>
      <c r="E97">
        <v>1.875</v>
      </c>
      <c r="F97">
        <v>106.710666667</v>
      </c>
      <c r="I97">
        <v>2.0571428570000001</v>
      </c>
      <c r="J97">
        <v>89.3</v>
      </c>
      <c r="M97">
        <v>2.486785196</v>
      </c>
      <c r="N97">
        <v>284.36666700000001</v>
      </c>
      <c r="Q97">
        <v>2.4463364909999998</v>
      </c>
      <c r="R97">
        <v>489.24259821099997</v>
      </c>
    </row>
    <row r="98" spans="2:18" x14ac:dyDescent="0.35">
      <c r="B98" s="2" t="s">
        <v>117</v>
      </c>
      <c r="E98">
        <v>2.0478074080000002</v>
      </c>
      <c r="F98">
        <v>107.83799999999999</v>
      </c>
      <c r="I98">
        <v>2.3836549379999998</v>
      </c>
      <c r="J98">
        <v>90.2</v>
      </c>
      <c r="M98">
        <v>2.9813518270000001</v>
      </c>
      <c r="N98">
        <v>289</v>
      </c>
      <c r="Q98">
        <v>2.9397818870000001</v>
      </c>
      <c r="R98">
        <v>497.39059606000001</v>
      </c>
    </row>
    <row r="99" spans="2:18" x14ac:dyDescent="0.35">
      <c r="B99" s="2" t="s">
        <v>118</v>
      </c>
      <c r="E99">
        <v>1.832848942</v>
      </c>
      <c r="F99">
        <v>108.267666667</v>
      </c>
      <c r="I99">
        <v>2.257336343</v>
      </c>
      <c r="J99">
        <v>90.6</v>
      </c>
      <c r="M99">
        <v>2.611764709</v>
      </c>
      <c r="N99">
        <v>290.73333300000002</v>
      </c>
      <c r="Q99">
        <v>2.5830691560000001</v>
      </c>
      <c r="R99">
        <v>498.88601881700004</v>
      </c>
    </row>
    <row r="100" spans="2:18" x14ac:dyDescent="0.35">
      <c r="B100" s="2" t="s">
        <v>119</v>
      </c>
      <c r="E100">
        <v>1.413459501</v>
      </c>
      <c r="F100">
        <v>108.45966666699999</v>
      </c>
      <c r="I100">
        <v>2.015677492</v>
      </c>
      <c r="J100">
        <v>91.1</v>
      </c>
      <c r="M100">
        <v>2.1762021759999999</v>
      </c>
      <c r="N100">
        <v>291.10000000000002</v>
      </c>
      <c r="Q100">
        <v>2.2198855009999998</v>
      </c>
      <c r="R100">
        <v>498.48489133700002</v>
      </c>
    </row>
    <row r="101" spans="2:18" x14ac:dyDescent="0.35">
      <c r="B101" s="2" t="s">
        <v>120</v>
      </c>
      <c r="E101">
        <v>1.6671248110000001</v>
      </c>
      <c r="F101">
        <v>108.48966666699999</v>
      </c>
      <c r="I101">
        <v>2.911534155</v>
      </c>
      <c r="J101">
        <v>91.9</v>
      </c>
      <c r="M101">
        <v>2.5905518669999998</v>
      </c>
      <c r="N101">
        <v>291.73333300000002</v>
      </c>
      <c r="Q101">
        <v>2.668851691</v>
      </c>
      <c r="R101">
        <v>501.961062191</v>
      </c>
    </row>
    <row r="102" spans="2:18" x14ac:dyDescent="0.35">
      <c r="B102" s="2" t="s">
        <v>121</v>
      </c>
      <c r="E102">
        <v>0.61666573899999999</v>
      </c>
      <c r="F102">
        <v>108.503</v>
      </c>
      <c r="I102">
        <v>9.5343680709999994</v>
      </c>
      <c r="J102">
        <v>98.8</v>
      </c>
      <c r="M102">
        <v>1.211072664</v>
      </c>
      <c r="N102">
        <v>292.5</v>
      </c>
      <c r="Q102">
        <v>1.3818516810000001</v>
      </c>
      <c r="R102">
        <v>512.54695815499997</v>
      </c>
    </row>
    <row r="103" spans="2:18" x14ac:dyDescent="0.35">
      <c r="B103" s="2" t="s">
        <v>122</v>
      </c>
      <c r="E103">
        <v>0.59666936599999998</v>
      </c>
      <c r="F103">
        <v>108.913666667</v>
      </c>
      <c r="I103">
        <v>4.7461368650000004</v>
      </c>
      <c r="J103">
        <v>94.9</v>
      </c>
      <c r="M103">
        <v>1.100664986</v>
      </c>
      <c r="N103">
        <v>293.933333</v>
      </c>
      <c r="Q103">
        <v>1.3391324250000001</v>
      </c>
      <c r="R103">
        <v>505.52960330899998</v>
      </c>
    </row>
    <row r="104" spans="2:18" x14ac:dyDescent="0.35">
      <c r="B104" s="2" t="s">
        <v>123</v>
      </c>
      <c r="E104">
        <v>0.53353166600000002</v>
      </c>
      <c r="F104">
        <v>109.038333333</v>
      </c>
      <c r="I104">
        <v>3.5126234909999998</v>
      </c>
      <c r="J104">
        <v>94.3</v>
      </c>
      <c r="M104">
        <v>1.1336310549999999</v>
      </c>
      <c r="N104">
        <v>294.39999999999998</v>
      </c>
      <c r="Q104">
        <v>1.360155446</v>
      </c>
      <c r="R104">
        <v>504.27827499099999</v>
      </c>
    </row>
    <row r="105" spans="2:18" x14ac:dyDescent="0.35">
      <c r="B105" s="2" t="s">
        <v>124</v>
      </c>
      <c r="E105">
        <v>0.609581865</v>
      </c>
      <c r="F105">
        <v>109.151</v>
      </c>
      <c r="I105">
        <v>3.6996735580000002</v>
      </c>
      <c r="J105">
        <v>95.3</v>
      </c>
      <c r="M105">
        <v>1.405393055</v>
      </c>
      <c r="N105">
        <v>295.83333299999998</v>
      </c>
      <c r="Q105">
        <v>1.596169194</v>
      </c>
      <c r="R105">
        <v>507.59515067199999</v>
      </c>
    </row>
    <row r="106" spans="2:18" x14ac:dyDescent="0.35">
      <c r="B106" s="2" t="s">
        <v>125</v>
      </c>
      <c r="E106">
        <v>2.0518633890000002</v>
      </c>
      <c r="F106">
        <v>110.729333333</v>
      </c>
      <c r="I106">
        <v>-4.9595141700000003</v>
      </c>
      <c r="J106">
        <v>93.9</v>
      </c>
      <c r="M106">
        <v>3.3618232479999999</v>
      </c>
      <c r="N106">
        <v>302.33333299999998</v>
      </c>
      <c r="Q106">
        <v>3.509768287</v>
      </c>
      <c r="R106">
        <v>510.92660708699998</v>
      </c>
    </row>
    <row r="107" spans="2:18" x14ac:dyDescent="0.35">
      <c r="B107" s="2" t="s">
        <v>126</v>
      </c>
      <c r="E107">
        <v>2.771614214</v>
      </c>
      <c r="F107">
        <v>111.932333333</v>
      </c>
      <c r="I107">
        <v>-0.42149631199999998</v>
      </c>
      <c r="J107">
        <v>94.5</v>
      </c>
      <c r="M107">
        <v>4.5021549160000003</v>
      </c>
      <c r="N107">
        <v>307.16666700000002</v>
      </c>
      <c r="Q107">
        <v>4.5967924099999999</v>
      </c>
      <c r="R107">
        <v>525.04806556100004</v>
      </c>
    </row>
    <row r="108" spans="2:18" x14ac:dyDescent="0.35">
      <c r="B108" s="2" t="s">
        <v>127</v>
      </c>
      <c r="E108">
        <v>4.9074484509999996</v>
      </c>
      <c r="F108">
        <v>114.389333333</v>
      </c>
      <c r="I108">
        <v>1.378579003</v>
      </c>
      <c r="J108">
        <v>95.6</v>
      </c>
      <c r="M108">
        <v>6.8840580840000003</v>
      </c>
      <c r="N108">
        <v>314.66666700000002</v>
      </c>
      <c r="Q108">
        <v>7.0252593589999996</v>
      </c>
      <c r="R108">
        <v>544.85134522999999</v>
      </c>
    </row>
    <row r="109" spans="2:18" x14ac:dyDescent="0.35">
      <c r="B109" s="2" t="s">
        <v>128</v>
      </c>
      <c r="E109">
        <v>6.2195185259999999</v>
      </c>
      <c r="F109">
        <v>115.939666667</v>
      </c>
      <c r="I109">
        <v>1.783840504</v>
      </c>
      <c r="J109">
        <v>97</v>
      </c>
      <c r="M109">
        <v>8.3267607980000005</v>
      </c>
      <c r="N109">
        <v>320.46666699999997</v>
      </c>
      <c r="Q109">
        <v>8.4838963080000003</v>
      </c>
      <c r="R109">
        <v>558.22034980299998</v>
      </c>
    </row>
    <row r="110" spans="2:18" x14ac:dyDescent="0.35">
      <c r="B110" s="2" t="s">
        <v>129</v>
      </c>
      <c r="E110">
        <v>9.1692053900000001</v>
      </c>
      <c r="F110">
        <v>120.88233333300001</v>
      </c>
      <c r="I110">
        <v>5.5378061770000002</v>
      </c>
      <c r="J110">
        <v>99.1</v>
      </c>
      <c r="M110">
        <v>11.543550178</v>
      </c>
      <c r="N110">
        <v>337.23333300000002</v>
      </c>
      <c r="Q110">
        <v>11.631734884</v>
      </c>
      <c r="R110">
        <v>595.097962962</v>
      </c>
    </row>
    <row r="111" spans="2:18" x14ac:dyDescent="0.35">
      <c r="B111" s="2" t="s">
        <v>130</v>
      </c>
      <c r="E111">
        <v>10.022126462999999</v>
      </c>
      <c r="F111">
        <v>123.15033333300001</v>
      </c>
      <c r="I111">
        <v>6.560846561</v>
      </c>
      <c r="J111">
        <v>100.7</v>
      </c>
      <c r="M111">
        <v>12.42539315</v>
      </c>
      <c r="N111">
        <v>345.33333299999998</v>
      </c>
      <c r="Q111">
        <v>12.320483748999999</v>
      </c>
      <c r="R111">
        <v>610.51251625600003</v>
      </c>
    </row>
    <row r="112" spans="2:18" x14ac:dyDescent="0.35">
      <c r="B112" s="2" t="s">
        <v>131</v>
      </c>
      <c r="E112">
        <v>10.749545412</v>
      </c>
      <c r="F112">
        <v>126.68566666700001</v>
      </c>
      <c r="I112">
        <v>7.9497907950000002</v>
      </c>
      <c r="J112">
        <v>103.2</v>
      </c>
      <c r="M112">
        <v>13.866525303</v>
      </c>
      <c r="N112">
        <v>358.3</v>
      </c>
      <c r="Q112">
        <v>13.423243072</v>
      </c>
      <c r="R112">
        <v>634.17477124899995</v>
      </c>
    </row>
    <row r="113" spans="2:18" x14ac:dyDescent="0.35">
      <c r="B113" s="2" t="s">
        <v>132</v>
      </c>
      <c r="E113">
        <v>10.174832311999999</v>
      </c>
      <c r="F113">
        <v>127.736333333</v>
      </c>
      <c r="I113">
        <v>8.3505154640000008</v>
      </c>
      <c r="J113">
        <v>105.1</v>
      </c>
      <c r="M113">
        <v>13.584356029</v>
      </c>
      <c r="N113">
        <v>364</v>
      </c>
      <c r="Q113">
        <v>12.703010240999999</v>
      </c>
      <c r="R113">
        <v>641.64904737900008</v>
      </c>
    </row>
    <row r="114" spans="2:18" x14ac:dyDescent="0.35">
      <c r="B114" s="2" t="s">
        <v>133</v>
      </c>
      <c r="E114">
        <v>8.427754814</v>
      </c>
      <c r="F114">
        <v>131.07</v>
      </c>
      <c r="I114">
        <v>7.9717457109999996</v>
      </c>
      <c r="J114">
        <v>107</v>
      </c>
      <c r="M114">
        <v>11.149550272999999</v>
      </c>
      <c r="N114">
        <v>374.83333299999998</v>
      </c>
      <c r="Q114">
        <v>10.085520495000001</v>
      </c>
      <c r="R114">
        <v>650.537904293</v>
      </c>
    </row>
    <row r="115" spans="2:18" x14ac:dyDescent="0.35">
      <c r="B115" s="2" t="s">
        <v>134</v>
      </c>
      <c r="E115">
        <v>6.7118508270000001</v>
      </c>
      <c r="F115">
        <v>131.416</v>
      </c>
      <c r="I115">
        <v>7.2492552139999997</v>
      </c>
      <c r="J115">
        <v>108</v>
      </c>
      <c r="M115">
        <v>8.9961391010000007</v>
      </c>
      <c r="N115">
        <v>376.4</v>
      </c>
      <c r="Q115">
        <v>7.7581234380000001</v>
      </c>
      <c r="R115">
        <v>646.53136857999993</v>
      </c>
    </row>
    <row r="116" spans="2:18" x14ac:dyDescent="0.35">
      <c r="B116" s="2" t="s">
        <v>135</v>
      </c>
      <c r="E116">
        <v>4.1772681470000004</v>
      </c>
      <c r="F116">
        <v>131.97766666699999</v>
      </c>
      <c r="I116">
        <v>5.03875969</v>
      </c>
      <c r="J116">
        <v>108.4</v>
      </c>
      <c r="M116">
        <v>5.5074889760000003</v>
      </c>
      <c r="N116">
        <v>378.03333300000003</v>
      </c>
      <c r="Q116">
        <v>4.3009753829999999</v>
      </c>
      <c r="R116">
        <v>637.43549186300004</v>
      </c>
    </row>
    <row r="117" spans="2:18" x14ac:dyDescent="0.35">
      <c r="B117" s="2" t="s">
        <v>136</v>
      </c>
      <c r="E117">
        <v>3.5377561590000002</v>
      </c>
      <c r="F117">
        <v>132.25533333300001</v>
      </c>
      <c r="I117">
        <v>4.2816365369999998</v>
      </c>
      <c r="J117">
        <v>109.6</v>
      </c>
      <c r="M117">
        <v>4.5787546700000004</v>
      </c>
      <c r="N117">
        <v>380.66666700000002</v>
      </c>
      <c r="Q117">
        <v>3.542909592</v>
      </c>
      <c r="R117">
        <v>638.46305729100004</v>
      </c>
    </row>
    <row r="118" spans="2:18" x14ac:dyDescent="0.35">
      <c r="B118" s="2" t="s">
        <v>137</v>
      </c>
      <c r="E118">
        <v>2.0988784620000001</v>
      </c>
      <c r="F118">
        <v>133.821</v>
      </c>
      <c r="I118">
        <v>3.1775700929999999</v>
      </c>
      <c r="J118">
        <v>110.4</v>
      </c>
      <c r="M118">
        <v>3.0413517149999998</v>
      </c>
      <c r="N118">
        <v>386.23333300000002</v>
      </c>
      <c r="Q118">
        <v>2.0716135370000002</v>
      </c>
      <c r="R118">
        <v>640.843746807</v>
      </c>
    </row>
    <row r="119" spans="2:18" x14ac:dyDescent="0.35">
      <c r="B119" s="2" t="s">
        <v>138</v>
      </c>
      <c r="E119">
        <v>2.0428765649999998</v>
      </c>
      <c r="F119">
        <v>134.10066666700001</v>
      </c>
      <c r="I119">
        <v>3.703703704</v>
      </c>
      <c r="J119">
        <v>112</v>
      </c>
      <c r="M119">
        <v>3.2589444740000002</v>
      </c>
      <c r="N119">
        <v>388.66666700000002</v>
      </c>
      <c r="Q119">
        <v>2.5158354890000001</v>
      </c>
      <c r="R119">
        <v>646.28869389900001</v>
      </c>
    </row>
    <row r="120" spans="2:18" x14ac:dyDescent="0.35">
      <c r="B120" s="2" t="s">
        <v>4</v>
      </c>
      <c r="C120">
        <v>2.4685994849999999</v>
      </c>
      <c r="D120">
        <v>135.235666667</v>
      </c>
      <c r="E120">
        <v>2.4685994849999999</v>
      </c>
      <c r="F120">
        <v>135.235666667</v>
      </c>
      <c r="G120">
        <v>4.3357933580000001</v>
      </c>
      <c r="H120">
        <v>113.1</v>
      </c>
      <c r="I120">
        <v>4.3357933580000001</v>
      </c>
      <c r="J120">
        <v>113.1</v>
      </c>
      <c r="K120">
        <v>3.49175558</v>
      </c>
      <c r="L120">
        <v>391.23333300000002</v>
      </c>
      <c r="M120">
        <v>3.49175558</v>
      </c>
      <c r="N120">
        <v>391.23333300000002</v>
      </c>
      <c r="O120">
        <v>2.921268258</v>
      </c>
      <c r="P120">
        <v>385.2</v>
      </c>
      <c r="Q120">
        <v>2.921268258</v>
      </c>
      <c r="R120">
        <v>1690.7728326960003</v>
      </c>
    </row>
    <row r="121" spans="2:18" x14ac:dyDescent="0.35">
      <c r="B121" s="2" t="s">
        <v>5</v>
      </c>
      <c r="C121">
        <v>2.7088726219999999</v>
      </c>
      <c r="D121">
        <v>135.83796184900001</v>
      </c>
      <c r="G121">
        <v>3.9761813030000002</v>
      </c>
      <c r="H121">
        <v>113.957894708</v>
      </c>
      <c r="K121">
        <v>3.4478595420000002</v>
      </c>
      <c r="L121">
        <v>393.79151899999999</v>
      </c>
      <c r="O121">
        <v>2.9829451549999999</v>
      </c>
      <c r="P121">
        <v>387.25020143</v>
      </c>
      <c r="R121">
        <v>1043.9534356090001</v>
      </c>
    </row>
    <row r="122" spans="2:18" x14ac:dyDescent="0.35">
      <c r="B122" s="2" t="s">
        <v>6</v>
      </c>
      <c r="C122">
        <v>3.3030662639999999</v>
      </c>
      <c r="D122">
        <v>138.24119630499999</v>
      </c>
      <c r="G122">
        <v>3.7509129720000001</v>
      </c>
      <c r="H122">
        <v>114.541007921</v>
      </c>
      <c r="K122">
        <v>4.1248394790000003</v>
      </c>
      <c r="L122">
        <v>402.16483799999997</v>
      </c>
      <c r="O122">
        <v>3.765218715</v>
      </c>
      <c r="P122">
        <v>395.38007170899999</v>
      </c>
      <c r="R122">
        <v>1065.2711513649999</v>
      </c>
    </row>
    <row r="123" spans="2:18" x14ac:dyDescent="0.35">
      <c r="B123" s="2" t="s">
        <v>7</v>
      </c>
      <c r="C123">
        <v>3.686861645</v>
      </c>
      <c r="D123">
        <v>139.04477271100001</v>
      </c>
      <c r="G123">
        <v>2.781531003</v>
      </c>
      <c r="H123">
        <v>115.115314723</v>
      </c>
      <c r="K123">
        <v>4.5709283840000001</v>
      </c>
      <c r="L123">
        <v>406.43234200000001</v>
      </c>
      <c r="O123">
        <v>4.2317483349999998</v>
      </c>
      <c r="P123">
        <v>399.24234003999999</v>
      </c>
      <c r="R123">
        <v>1075.1058388410001</v>
      </c>
    </row>
    <row r="124" spans="2:18" x14ac:dyDescent="0.35">
      <c r="B124" s="2" t="s">
        <v>8</v>
      </c>
      <c r="C124">
        <v>3.1469548619999999</v>
      </c>
      <c r="D124">
        <v>139.49147205400001</v>
      </c>
      <c r="G124">
        <v>2.239807125</v>
      </c>
      <c r="H124">
        <v>115.633221859</v>
      </c>
      <c r="K124">
        <v>4.2117921989999996</v>
      </c>
      <c r="L124">
        <v>407.71126800000002</v>
      </c>
      <c r="O124">
        <v>3.844524609</v>
      </c>
      <c r="P124">
        <v>400.00910879499997</v>
      </c>
      <c r="R124">
        <v>1076.2881495030001</v>
      </c>
    </row>
    <row r="125" spans="2:18" x14ac:dyDescent="0.35">
      <c r="B125" s="2" t="s">
        <v>9</v>
      </c>
      <c r="C125">
        <v>2.6086100590000001</v>
      </c>
      <c r="D125">
        <v>139.38144458599999</v>
      </c>
      <c r="G125">
        <v>1.8432567959999999</v>
      </c>
      <c r="H125">
        <v>116.058431347</v>
      </c>
      <c r="K125">
        <v>3.7203843390000002</v>
      </c>
      <c r="L125">
        <v>408.44207699999998</v>
      </c>
      <c r="O125">
        <v>3.3351217019999999</v>
      </c>
      <c r="P125">
        <v>400.16546693700002</v>
      </c>
      <c r="R125">
        <v>1075.554792766</v>
      </c>
    </row>
    <row r="126" spans="2:18" x14ac:dyDescent="0.35">
      <c r="B126" s="2" t="s">
        <v>10</v>
      </c>
      <c r="C126">
        <v>2.037286565</v>
      </c>
      <c r="D126">
        <v>141.057565625</v>
      </c>
      <c r="G126">
        <v>1.6458909370000001</v>
      </c>
      <c r="H126">
        <v>116.42622799</v>
      </c>
      <c r="K126">
        <v>3.1953233559999998</v>
      </c>
      <c r="L126">
        <v>415.01530500000001</v>
      </c>
      <c r="O126">
        <v>2.7763965530000001</v>
      </c>
      <c r="P126">
        <v>406.35739039100002</v>
      </c>
      <c r="R126">
        <v>1088.511386417</v>
      </c>
    </row>
    <row r="127" spans="2:18" x14ac:dyDescent="0.35">
      <c r="B127" s="2" t="s">
        <v>11</v>
      </c>
      <c r="C127">
        <v>1.807627756</v>
      </c>
      <c r="D127">
        <v>141.55818461600001</v>
      </c>
      <c r="G127">
        <v>1.5730893100000001</v>
      </c>
      <c r="H127">
        <v>116.926181433</v>
      </c>
      <c r="K127">
        <v>2.9876288729999998</v>
      </c>
      <c r="L127">
        <v>418.57503200000002</v>
      </c>
      <c r="O127">
        <v>2.565283413</v>
      </c>
      <c r="P127">
        <v>409.48403756800002</v>
      </c>
      <c r="R127">
        <v>1095.4770649689999</v>
      </c>
    </row>
    <row r="128" spans="2:18" x14ac:dyDescent="0.35">
      <c r="B128" s="2" t="s">
        <v>12</v>
      </c>
      <c r="C128">
        <v>1.897723807</v>
      </c>
      <c r="D128">
        <v>142.13863492799999</v>
      </c>
      <c r="G128">
        <v>1.627901732</v>
      </c>
      <c r="H128">
        <v>117.515617081</v>
      </c>
      <c r="K128">
        <v>3.0447524939999999</v>
      </c>
      <c r="L128">
        <v>420.125067</v>
      </c>
      <c r="O128">
        <v>2.6589640540000001</v>
      </c>
      <c r="P128">
        <v>410.645207212</v>
      </c>
      <c r="R128">
        <v>1099.653868308</v>
      </c>
    </row>
    <row r="129" spans="2:18" x14ac:dyDescent="0.35">
      <c r="B129" s="2" t="s">
        <v>13</v>
      </c>
      <c r="C129">
        <v>1.9720394919999999</v>
      </c>
      <c r="D129">
        <v>142.13010171799999</v>
      </c>
      <c r="G129">
        <v>1.7775703970000001</v>
      </c>
      <c r="H129">
        <v>118.121451666</v>
      </c>
      <c r="K129">
        <v>3.0746296000000002</v>
      </c>
      <c r="L129">
        <v>421.000158</v>
      </c>
      <c r="O129">
        <v>2.7363765930000001</v>
      </c>
      <c r="P129">
        <v>411.115501107</v>
      </c>
      <c r="R129">
        <v>1101.9278285730002</v>
      </c>
    </row>
    <row r="130" spans="2:18" x14ac:dyDescent="0.35">
      <c r="B130" s="2" t="s">
        <v>14</v>
      </c>
      <c r="C130">
        <v>1.9839849110000001</v>
      </c>
      <c r="D130">
        <v>143.85612644299999</v>
      </c>
      <c r="G130">
        <v>1.9907433269999999</v>
      </c>
      <c r="H130">
        <v>118.743975354</v>
      </c>
      <c r="K130">
        <v>3.0615355260000001</v>
      </c>
      <c r="L130">
        <v>427.72114599999998</v>
      </c>
      <c r="O130">
        <v>2.7499675039999998</v>
      </c>
      <c r="P130">
        <v>417.53208657699997</v>
      </c>
      <c r="R130">
        <v>1117.639565642</v>
      </c>
    </row>
    <row r="131" spans="2:18" x14ac:dyDescent="0.35">
      <c r="B131" s="2" t="s">
        <v>15</v>
      </c>
      <c r="C131">
        <v>2</v>
      </c>
      <c r="D131">
        <v>144.389348308</v>
      </c>
      <c r="G131">
        <v>2.0710625139999999</v>
      </c>
      <c r="H131">
        <v>119.34779574700001</v>
      </c>
      <c r="K131">
        <v>3.0332157990000002</v>
      </c>
      <c r="L131">
        <v>431.27131600000001</v>
      </c>
      <c r="O131">
        <v>2.7671967209999999</v>
      </c>
      <c r="P131">
        <v>420.81526642799997</v>
      </c>
      <c r="R131">
        <v>1125.695201517</v>
      </c>
    </row>
    <row r="132" spans="2:18" x14ac:dyDescent="0.35">
      <c r="B132" s="2" t="s">
        <v>16</v>
      </c>
      <c r="C132">
        <v>2</v>
      </c>
      <c r="D132">
        <v>144.98140762700001</v>
      </c>
      <c r="G132">
        <v>2.0602177049999999</v>
      </c>
      <c r="H132">
        <v>119.93669463000001</v>
      </c>
      <c r="K132">
        <v>2.9724379669999998</v>
      </c>
      <c r="L132">
        <v>432.613024</v>
      </c>
      <c r="O132">
        <v>2.7655999549999999</v>
      </c>
      <c r="P132">
        <v>422.00201087699998</v>
      </c>
      <c r="R132">
        <v>1129.331392761</v>
      </c>
    </row>
    <row r="133" spans="2:18" x14ac:dyDescent="0.35">
      <c r="B133" s="2" t="s">
        <v>17</v>
      </c>
      <c r="C133">
        <v>2</v>
      </c>
      <c r="D133">
        <v>144.972703752</v>
      </c>
      <c r="G133">
        <v>2.0253607250000001</v>
      </c>
      <c r="H133">
        <v>120.51383715599999</v>
      </c>
      <c r="K133">
        <v>2.922492965</v>
      </c>
      <c r="L133">
        <v>433.30385799999999</v>
      </c>
      <c r="O133">
        <v>2.7652007240000001</v>
      </c>
      <c r="P133">
        <v>422.48366991799998</v>
      </c>
      <c r="R133">
        <v>1130.9871232399998</v>
      </c>
    </row>
    <row r="134" spans="2:18" x14ac:dyDescent="0.35">
      <c r="B134" s="2" t="s">
        <v>18</v>
      </c>
      <c r="C134">
        <v>2.0006912909999999</v>
      </c>
      <c r="D134">
        <v>146.73424343600001</v>
      </c>
      <c r="G134">
        <v>1.983014214</v>
      </c>
      <c r="H134">
        <v>121.098685264</v>
      </c>
      <c r="K134">
        <v>2.8511103819999999</v>
      </c>
      <c r="L134">
        <v>439.91594800000001</v>
      </c>
      <c r="O134">
        <v>2.7624298029999999</v>
      </c>
      <c r="P134">
        <v>429.06611737499998</v>
      </c>
      <c r="R134">
        <v>1146.4122397650001</v>
      </c>
    </row>
    <row r="135" spans="2:18" x14ac:dyDescent="0.35">
      <c r="B135" s="2" t="s">
        <v>19</v>
      </c>
      <c r="C135">
        <v>2.000225854</v>
      </c>
      <c r="D135">
        <v>147.277461383</v>
      </c>
      <c r="G135">
        <v>1.954338439</v>
      </c>
      <c r="H135">
        <v>121.68025559500001</v>
      </c>
      <c r="K135">
        <v>2.8186613739999999</v>
      </c>
      <c r="L135">
        <v>443.42739399999999</v>
      </c>
      <c r="O135">
        <v>2.7589968790000001</v>
      </c>
      <c r="P135">
        <v>432.42554649499999</v>
      </c>
      <c r="R135">
        <v>1154.3428800189999</v>
      </c>
    </row>
    <row r="136" spans="2:18" x14ac:dyDescent="0.35">
      <c r="B136" s="2" t="s">
        <v>20</v>
      </c>
      <c r="C136">
        <v>2.0007676779999999</v>
      </c>
      <c r="D136">
        <v>147.88214876999999</v>
      </c>
      <c r="G136">
        <v>1.934911058</v>
      </c>
      <c r="H136">
        <v>122.257362997</v>
      </c>
      <c r="K136">
        <v>2.8127976559999999</v>
      </c>
      <c r="L136">
        <v>444.78155299999997</v>
      </c>
      <c r="O136">
        <v>2.7567236359999998</v>
      </c>
      <c r="P136">
        <v>433.63544005400001</v>
      </c>
      <c r="R136">
        <v>1158.0617048489999</v>
      </c>
    </row>
    <row r="137" spans="2:18" x14ac:dyDescent="0.35">
      <c r="B137" s="2" t="s">
        <v>21</v>
      </c>
      <c r="C137">
        <v>1.999924531</v>
      </c>
      <c r="D137">
        <v>147.87204841799999</v>
      </c>
      <c r="G137">
        <v>1.917169278</v>
      </c>
      <c r="H137">
        <v>122.824291417</v>
      </c>
      <c r="K137">
        <v>2.8205246210000001</v>
      </c>
      <c r="L137">
        <v>445.52530000000002</v>
      </c>
      <c r="O137">
        <v>2.755375892</v>
      </c>
      <c r="P137">
        <v>434.12468310499997</v>
      </c>
      <c r="R137">
        <v>1159.8393172619999</v>
      </c>
    </row>
    <row r="138" spans="2:18" x14ac:dyDescent="0.35">
      <c r="B138" s="2" t="s">
        <v>22</v>
      </c>
      <c r="C138">
        <v>1.999900233</v>
      </c>
      <c r="D138">
        <v>149.668781913</v>
      </c>
      <c r="G138">
        <v>1.890523202</v>
      </c>
      <c r="H138">
        <v>123.388084005</v>
      </c>
      <c r="K138">
        <v>2.8371817519999998</v>
      </c>
      <c r="L138">
        <v>452.39716299999998</v>
      </c>
      <c r="O138">
        <v>2.756173215</v>
      </c>
      <c r="P138">
        <v>440.89192277900003</v>
      </c>
      <c r="R138">
        <v>1175.829730099</v>
      </c>
    </row>
    <row r="139" spans="2:18" x14ac:dyDescent="0.35">
      <c r="B139" s="2" t="s">
        <v>23</v>
      </c>
      <c r="C139">
        <v>2.000222569</v>
      </c>
      <c r="D139">
        <v>150.22333840499999</v>
      </c>
      <c r="G139">
        <v>1.880443533</v>
      </c>
      <c r="H139">
        <v>123.96838409199999</v>
      </c>
      <c r="K139">
        <v>2.8361515709999998</v>
      </c>
      <c r="L139">
        <v>456.00366700000001</v>
      </c>
      <c r="O139">
        <v>2.7571039289999999</v>
      </c>
      <c r="P139">
        <v>444.34796822999999</v>
      </c>
      <c r="R139">
        <v>1184.0172793289998</v>
      </c>
    </row>
    <row r="140" spans="2:18" x14ac:dyDescent="0.35">
      <c r="B140" s="2" t="s">
        <v>24</v>
      </c>
      <c r="C140">
        <v>1.999630088</v>
      </c>
      <c r="D140">
        <v>150.83924471099999</v>
      </c>
      <c r="G140">
        <v>1.8767782099999999</v>
      </c>
      <c r="H140">
        <v>124.55186254500001</v>
      </c>
      <c r="K140">
        <v>2.850527391</v>
      </c>
      <c r="L140">
        <v>457.460173</v>
      </c>
      <c r="O140">
        <v>2.755942653</v>
      </c>
      <c r="P140">
        <v>445.58618410600002</v>
      </c>
      <c r="R140">
        <v>1187.9203427040002</v>
      </c>
    </row>
    <row r="141" spans="2:18" x14ac:dyDescent="0.35">
      <c r="B141" s="2" t="s">
        <v>25</v>
      </c>
      <c r="C141">
        <v>1.9993326199999999</v>
      </c>
      <c r="D141">
        <v>150.828502517</v>
      </c>
      <c r="G141">
        <v>1.8767859170000001</v>
      </c>
      <c r="H141">
        <v>125.129440422</v>
      </c>
      <c r="K141">
        <v>2.7805866469999998</v>
      </c>
      <c r="L141">
        <v>457.91351700000001</v>
      </c>
      <c r="O141">
        <v>2.6841176080000002</v>
      </c>
      <c r="P141">
        <v>445.77710016700001</v>
      </c>
      <c r="R141">
        <v>1188.989382898</v>
      </c>
    </row>
    <row r="142" spans="2:18" x14ac:dyDescent="0.35">
      <c r="B142" s="2" t="s">
        <v>156</v>
      </c>
      <c r="C142">
        <v>49.622322332000003</v>
      </c>
      <c r="D142">
        <v>3163.6423567420002</v>
      </c>
      <c r="E142">
        <v>271.35878983800018</v>
      </c>
      <c r="F142">
        <v>10670.371999998997</v>
      </c>
      <c r="G142">
        <v>49.013283054999995</v>
      </c>
      <c r="H142">
        <v>2620.836017952</v>
      </c>
      <c r="I142">
        <v>134.24133987499997</v>
      </c>
      <c r="J142">
        <v>4749.3</v>
      </c>
      <c r="K142">
        <v>70.467117497000004</v>
      </c>
      <c r="L142">
        <v>16676.821753000004</v>
      </c>
      <c r="M142">
        <v>387.65680250600008</v>
      </c>
      <c r="N142">
        <v>32928.059998000004</v>
      </c>
      <c r="O142">
        <v>64.852675906000002</v>
      </c>
      <c r="P142">
        <v>9193.5373213000003</v>
      </c>
      <c r="Q142">
        <v>375.97290989900011</v>
      </c>
      <c r="R142">
        <v>81405.754687901004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CFF9D-2AF3-4828-982D-3B16181A01C3}">
  <dimension ref="B3:T142"/>
  <sheetViews>
    <sheetView tabSelected="1" workbookViewId="0">
      <selection activeCell="J4" sqref="J4"/>
    </sheetView>
  </sheetViews>
  <sheetFormatPr defaultRowHeight="14.5" x14ac:dyDescent="0.35"/>
  <cols>
    <col min="20" max="20" width="10.08984375" bestFit="1" customWidth="1"/>
  </cols>
  <sheetData>
    <row r="3" spans="2:20" x14ac:dyDescent="0.35">
      <c r="B3" t="s">
        <v>158</v>
      </c>
      <c r="C3" t="s">
        <v>155</v>
      </c>
    </row>
    <row r="4" spans="2:20" s="3" customFormat="1" ht="58" x14ac:dyDescent="0.35">
      <c r="B4" s="3" t="s">
        <v>157</v>
      </c>
      <c r="C4" s="3" t="s">
        <v>3</v>
      </c>
      <c r="D4" s="3" t="s">
        <v>26</v>
      </c>
      <c r="E4" s="3" t="s">
        <v>27</v>
      </c>
      <c r="F4" s="3" t="s">
        <v>139</v>
      </c>
      <c r="G4" s="3" t="s">
        <v>144</v>
      </c>
      <c r="H4" s="3" t="s">
        <v>145</v>
      </c>
      <c r="I4" s="3" t="s">
        <v>146</v>
      </c>
      <c r="J4" s="3" t="s">
        <v>147</v>
      </c>
      <c r="K4" s="3" t="s">
        <v>148</v>
      </c>
      <c r="L4" s="3" t="s">
        <v>149</v>
      </c>
      <c r="M4" s="3" t="s">
        <v>150</v>
      </c>
      <c r="N4" s="3" t="s">
        <v>151</v>
      </c>
      <c r="O4" s="3" t="s">
        <v>152</v>
      </c>
      <c r="P4" s="3" t="s">
        <v>153</v>
      </c>
      <c r="Q4" s="3" t="s">
        <v>154</v>
      </c>
    </row>
    <row r="5" spans="2:20" x14ac:dyDescent="0.35">
      <c r="B5" t="s">
        <v>140</v>
      </c>
      <c r="F5">
        <v>68.099999999999994</v>
      </c>
      <c r="I5" s="5">
        <f>[1]data!$B$56</f>
        <v>4.0999999999999996</v>
      </c>
      <c r="J5" s="5">
        <f t="shared" ref="J5:J61" si="0">J9*(1-I9/100)</f>
        <v>58.198347376024309</v>
      </c>
      <c r="T5" s="4"/>
    </row>
    <row r="6" spans="2:20" x14ac:dyDescent="0.35">
      <c r="B6" t="s">
        <v>141</v>
      </c>
      <c r="F6">
        <v>68.900000000000006</v>
      </c>
      <c r="I6" s="5">
        <f>I5</f>
        <v>4.0999999999999996</v>
      </c>
      <c r="J6" s="5">
        <f t="shared" si="0"/>
        <v>58.271277635893995</v>
      </c>
      <c r="N6">
        <v>216.7</v>
      </c>
      <c r="T6" s="4"/>
    </row>
    <row r="7" spans="2:20" x14ac:dyDescent="0.35">
      <c r="B7" t="s">
        <v>142</v>
      </c>
      <c r="F7">
        <v>68.900000000000006</v>
      </c>
      <c r="I7" s="5">
        <f>I6</f>
        <v>4.0999999999999996</v>
      </c>
      <c r="J7" s="5">
        <f t="shared" si="0"/>
        <v>58.562998675372832</v>
      </c>
      <c r="N7">
        <v>227.63</v>
      </c>
      <c r="T7" s="4"/>
    </row>
    <row r="8" spans="2:20" x14ac:dyDescent="0.35">
      <c r="B8" t="s">
        <v>143</v>
      </c>
      <c r="F8">
        <v>69.400000000000006</v>
      </c>
      <c r="I8" s="5">
        <f>I7</f>
        <v>4.0999999999999996</v>
      </c>
      <c r="J8" s="5">
        <f t="shared" si="0"/>
        <v>58.927649974721355</v>
      </c>
      <c r="N8">
        <v>229.86</v>
      </c>
      <c r="T8" s="4"/>
    </row>
    <row r="9" spans="2:20" x14ac:dyDescent="0.35">
      <c r="B9" t="s">
        <v>28</v>
      </c>
      <c r="E9">
        <v>1.908957416</v>
      </c>
      <c r="F9">
        <v>69.400000000000006</v>
      </c>
      <c r="I9" s="5">
        <f>[1]data!$B$57</f>
        <v>0</v>
      </c>
      <c r="J9" s="5">
        <f t="shared" si="0"/>
        <v>58.198347376024309</v>
      </c>
      <c r="N9">
        <v>241.65</v>
      </c>
      <c r="Q9">
        <v>2.8647568290000001</v>
      </c>
      <c r="T9" s="4"/>
    </row>
    <row r="10" spans="2:20" x14ac:dyDescent="0.35">
      <c r="B10" t="s">
        <v>29</v>
      </c>
      <c r="E10">
        <v>1.5965166909999999</v>
      </c>
      <c r="F10">
        <v>70</v>
      </c>
      <c r="I10" s="5">
        <f>[1]data!$B$57</f>
        <v>0</v>
      </c>
      <c r="J10" s="5">
        <f t="shared" si="0"/>
        <v>58.271277635893995</v>
      </c>
      <c r="M10">
        <v>4.2316566680000003</v>
      </c>
      <c r="N10">
        <v>225.87</v>
      </c>
      <c r="Q10">
        <v>2.5590551179999999</v>
      </c>
      <c r="T10" s="4"/>
    </row>
    <row r="11" spans="2:20" x14ac:dyDescent="0.35">
      <c r="B11" t="s">
        <v>30</v>
      </c>
      <c r="E11">
        <v>2.0319303340000001</v>
      </c>
      <c r="F11">
        <v>70.3</v>
      </c>
      <c r="I11" s="5">
        <f>[1]data!$B$57</f>
        <v>0</v>
      </c>
      <c r="J11" s="5">
        <f t="shared" si="0"/>
        <v>58.562998675372832</v>
      </c>
      <c r="M11">
        <v>0.38659227699999998</v>
      </c>
      <c r="N11">
        <v>228.51</v>
      </c>
      <c r="Q11">
        <v>2.8141361260000002</v>
      </c>
      <c r="T11" s="4"/>
    </row>
    <row r="12" spans="2:20" x14ac:dyDescent="0.35">
      <c r="B12" t="s">
        <v>31</v>
      </c>
      <c r="E12">
        <v>1.729106628</v>
      </c>
      <c r="F12">
        <v>70.599999999999994</v>
      </c>
      <c r="I12" s="5">
        <f>[1]data!$B$57</f>
        <v>0</v>
      </c>
      <c r="J12" s="5">
        <f t="shared" si="0"/>
        <v>58.927649974721355</v>
      </c>
      <c r="M12">
        <v>2.3579570169999999</v>
      </c>
      <c r="N12">
        <v>235.28</v>
      </c>
      <c r="Q12">
        <v>2.7958387519999999</v>
      </c>
      <c r="T12" s="4"/>
    </row>
    <row r="13" spans="2:20" x14ac:dyDescent="0.35">
      <c r="B13" t="s">
        <v>32</v>
      </c>
      <c r="E13">
        <v>1.585014409</v>
      </c>
      <c r="F13">
        <v>70.5</v>
      </c>
      <c r="I13" s="5">
        <f>[1]data!$B$58</f>
        <v>1.3</v>
      </c>
      <c r="J13" s="5">
        <f t="shared" si="0"/>
        <v>58.964890958484609</v>
      </c>
      <c r="M13">
        <v>-0.87316366599999995</v>
      </c>
      <c r="N13">
        <v>239.54</v>
      </c>
      <c r="Q13">
        <v>2.5906735749999998</v>
      </c>
      <c r="T13" s="4"/>
    </row>
    <row r="14" spans="2:20" x14ac:dyDescent="0.35">
      <c r="B14" t="s">
        <v>33</v>
      </c>
      <c r="E14">
        <v>1.8571428569999999</v>
      </c>
      <c r="F14">
        <v>71.3</v>
      </c>
      <c r="I14" s="5">
        <f>[1]data!$B$58</f>
        <v>1.3</v>
      </c>
      <c r="J14" s="5">
        <f t="shared" si="0"/>
        <v>59.038781799284699</v>
      </c>
      <c r="M14">
        <v>14.769557710000001</v>
      </c>
      <c r="N14">
        <v>259.23</v>
      </c>
      <c r="Q14">
        <v>2.9430582209999998</v>
      </c>
      <c r="T14" s="4"/>
    </row>
    <row r="15" spans="2:20" x14ac:dyDescent="0.35">
      <c r="B15" t="s">
        <v>34</v>
      </c>
      <c r="E15">
        <v>1.280227596</v>
      </c>
      <c r="F15">
        <v>71.2</v>
      </c>
      <c r="I15" s="5">
        <f>[1]data!$B$58</f>
        <v>1.3</v>
      </c>
      <c r="J15" s="5">
        <f t="shared" si="0"/>
        <v>59.334345162485143</v>
      </c>
      <c r="M15">
        <v>19.911601243</v>
      </c>
      <c r="N15">
        <v>274.01</v>
      </c>
      <c r="Q15">
        <v>2.5461489500000001</v>
      </c>
      <c r="T15" s="4"/>
    </row>
    <row r="16" spans="2:20" x14ac:dyDescent="0.35">
      <c r="B16" t="s">
        <v>35</v>
      </c>
      <c r="E16">
        <v>1.416430595</v>
      </c>
      <c r="F16">
        <v>71.599999999999994</v>
      </c>
      <c r="I16" s="5">
        <f>[1]data!$B$58</f>
        <v>1.3</v>
      </c>
      <c r="J16" s="5">
        <f t="shared" si="0"/>
        <v>59.703799366485669</v>
      </c>
      <c r="M16">
        <v>25.055253315000002</v>
      </c>
      <c r="N16">
        <v>294.23</v>
      </c>
      <c r="Q16">
        <v>2.5300442759999999</v>
      </c>
      <c r="T16" s="4"/>
    </row>
    <row r="17" spans="2:20" x14ac:dyDescent="0.35">
      <c r="B17" t="s">
        <v>36</v>
      </c>
      <c r="E17">
        <v>1.5602836879999999</v>
      </c>
      <c r="F17">
        <v>71.599999999999994</v>
      </c>
      <c r="I17" s="5">
        <f>[1]data!$B$59</f>
        <v>1.4</v>
      </c>
      <c r="J17" s="5">
        <f t="shared" si="0"/>
        <v>59.802120647550318</v>
      </c>
      <c r="M17">
        <v>29.853051682</v>
      </c>
      <c r="N17">
        <v>311.05</v>
      </c>
      <c r="Q17">
        <v>2.525252525</v>
      </c>
      <c r="T17" s="4"/>
    </row>
    <row r="18" spans="2:20" x14ac:dyDescent="0.35">
      <c r="B18" t="s">
        <v>37</v>
      </c>
      <c r="E18">
        <v>1.402524544</v>
      </c>
      <c r="F18">
        <v>72.3</v>
      </c>
      <c r="I18" s="5">
        <f>[1]data!$B$59</f>
        <v>1.4</v>
      </c>
      <c r="J18" s="5">
        <f t="shared" si="0"/>
        <v>59.877060648361763</v>
      </c>
      <c r="M18">
        <v>20.113412798999999</v>
      </c>
      <c r="N18">
        <v>311.37</v>
      </c>
      <c r="Q18">
        <v>2.2995649469999999</v>
      </c>
      <c r="T18" s="4"/>
    </row>
    <row r="19" spans="2:20" x14ac:dyDescent="0.35">
      <c r="B19" t="s">
        <v>38</v>
      </c>
      <c r="E19">
        <v>1.2640449439999999</v>
      </c>
      <c r="F19">
        <v>72.099999999999994</v>
      </c>
      <c r="I19" s="5">
        <f>[1]data!$B$59</f>
        <v>1.4</v>
      </c>
      <c r="J19" s="5">
        <f t="shared" si="0"/>
        <v>60.176820651607649</v>
      </c>
      <c r="M19">
        <v>11.043392577000001</v>
      </c>
      <c r="N19">
        <v>304.27</v>
      </c>
      <c r="Q19">
        <v>2.172563625</v>
      </c>
      <c r="T19" s="4"/>
    </row>
    <row r="20" spans="2:20" x14ac:dyDescent="0.35">
      <c r="B20" t="s">
        <v>39</v>
      </c>
      <c r="E20">
        <v>1.2569832400000001</v>
      </c>
      <c r="F20">
        <v>72.5</v>
      </c>
      <c r="I20" s="5">
        <f>[1]data!$B$59</f>
        <v>1.4</v>
      </c>
      <c r="J20" s="5">
        <f t="shared" si="0"/>
        <v>60.55152065566498</v>
      </c>
      <c r="M20">
        <v>0.710328654</v>
      </c>
      <c r="N20">
        <v>296.32</v>
      </c>
      <c r="Q20">
        <v>2.1591610120000002</v>
      </c>
      <c r="T20" s="4"/>
    </row>
    <row r="21" spans="2:20" x14ac:dyDescent="0.35">
      <c r="B21" t="s">
        <v>40</v>
      </c>
      <c r="E21">
        <v>0.69832402199999999</v>
      </c>
      <c r="F21">
        <v>72.099999999999994</v>
      </c>
      <c r="I21" s="5">
        <f>[1]data!$B$60</f>
        <v>1</v>
      </c>
      <c r="J21" s="5">
        <f t="shared" si="0"/>
        <v>60.406182472273052</v>
      </c>
      <c r="M21">
        <v>-7.5357659540000004</v>
      </c>
      <c r="N21">
        <v>287.61</v>
      </c>
      <c r="Q21">
        <v>2.0935960589999998</v>
      </c>
      <c r="T21" s="4"/>
    </row>
    <row r="22" spans="2:20" x14ac:dyDescent="0.35">
      <c r="B22" t="s">
        <v>41</v>
      </c>
      <c r="E22">
        <v>0.553250346</v>
      </c>
      <c r="F22">
        <v>72.7</v>
      </c>
      <c r="I22" s="5">
        <f>[1]data!$B$60</f>
        <v>1</v>
      </c>
      <c r="J22" s="5">
        <f t="shared" si="0"/>
        <v>60.481879442789662</v>
      </c>
      <c r="M22">
        <v>-2.3348427919999999</v>
      </c>
      <c r="N22">
        <v>304.10000000000002</v>
      </c>
      <c r="Q22">
        <v>2.0656136090000001</v>
      </c>
      <c r="T22" s="4"/>
    </row>
    <row r="23" spans="2:20" x14ac:dyDescent="0.35">
      <c r="B23" t="s">
        <v>42</v>
      </c>
      <c r="E23">
        <v>0.83217753100000003</v>
      </c>
      <c r="F23">
        <v>72.7</v>
      </c>
      <c r="I23" s="5">
        <f>[1]data!$B$60</f>
        <v>1</v>
      </c>
      <c r="J23" s="5">
        <f t="shared" si="0"/>
        <v>60.784667324856208</v>
      </c>
      <c r="M23">
        <v>3.503467315</v>
      </c>
      <c r="N23">
        <v>314.93</v>
      </c>
      <c r="Q23">
        <v>2.12636695</v>
      </c>
      <c r="T23" s="4"/>
    </row>
    <row r="24" spans="2:20" x14ac:dyDescent="0.35">
      <c r="B24" t="s">
        <v>43</v>
      </c>
      <c r="E24">
        <v>0.96551724100000003</v>
      </c>
      <c r="F24">
        <v>73.2</v>
      </c>
      <c r="I24" s="5">
        <f>[1]data!$B$60</f>
        <v>1</v>
      </c>
      <c r="J24" s="5">
        <f t="shared" si="0"/>
        <v>61.163152177439372</v>
      </c>
      <c r="M24">
        <v>7.7652537800000001</v>
      </c>
      <c r="N24">
        <v>319.33</v>
      </c>
      <c r="Q24">
        <v>2.1135265699999999</v>
      </c>
      <c r="T24" s="4"/>
    </row>
    <row r="25" spans="2:20" x14ac:dyDescent="0.35">
      <c r="B25" t="s">
        <v>44</v>
      </c>
      <c r="E25">
        <v>0.97087378599999996</v>
      </c>
      <c r="F25">
        <v>72.8</v>
      </c>
      <c r="I25" s="5">
        <f>[1]data!$B$61</f>
        <v>1.7</v>
      </c>
      <c r="J25" s="5">
        <f t="shared" si="0"/>
        <v>61.450846869046849</v>
      </c>
      <c r="M25">
        <v>34.616320711999997</v>
      </c>
      <c r="N25">
        <v>387.17</v>
      </c>
      <c r="Q25">
        <v>1.869722557</v>
      </c>
      <c r="T25" s="4"/>
    </row>
    <row r="26" spans="2:20" x14ac:dyDescent="0.35">
      <c r="B26" t="s">
        <v>45</v>
      </c>
      <c r="E26">
        <v>1.5130674</v>
      </c>
      <c r="F26">
        <v>73.8</v>
      </c>
      <c r="I26" s="5">
        <f>[1]data!$B$61</f>
        <v>1.7</v>
      </c>
      <c r="J26" s="5">
        <f t="shared" si="0"/>
        <v>61.52785294281756</v>
      </c>
      <c r="M26">
        <v>-13.04505097</v>
      </c>
      <c r="N26">
        <v>264.43</v>
      </c>
      <c r="Q26">
        <v>2.2619047619999999</v>
      </c>
      <c r="T26" s="4"/>
    </row>
    <row r="27" spans="2:20" x14ac:dyDescent="0.35">
      <c r="B27" t="s">
        <v>46</v>
      </c>
      <c r="E27">
        <v>1.5130674</v>
      </c>
      <c r="F27">
        <v>73.8</v>
      </c>
      <c r="I27" s="5">
        <f>[1]data!$B$61</f>
        <v>1.7</v>
      </c>
      <c r="J27" s="5">
        <f t="shared" si="0"/>
        <v>61.835877237900519</v>
      </c>
      <c r="M27">
        <v>-7.87794113</v>
      </c>
      <c r="N27">
        <v>290.12</v>
      </c>
      <c r="Q27">
        <v>2.3795359899999999</v>
      </c>
      <c r="T27" s="4"/>
    </row>
    <row r="28" spans="2:20" x14ac:dyDescent="0.35">
      <c r="B28" t="s">
        <v>47</v>
      </c>
      <c r="E28">
        <v>0.95628415300000003</v>
      </c>
      <c r="F28">
        <v>73.900000000000006</v>
      </c>
      <c r="I28" s="5">
        <f>[1]data!$B$61</f>
        <v>1.7</v>
      </c>
      <c r="J28" s="5">
        <f t="shared" si="0"/>
        <v>62.220907606754196</v>
      </c>
      <c r="M28">
        <v>-8.9468574830000005</v>
      </c>
      <c r="N28">
        <v>290.76</v>
      </c>
      <c r="Q28">
        <v>1.9515079829999999</v>
      </c>
      <c r="T28" s="4"/>
    </row>
    <row r="29" spans="2:20" x14ac:dyDescent="0.35">
      <c r="B29" t="s">
        <v>48</v>
      </c>
      <c r="E29">
        <v>1.5109890109999999</v>
      </c>
      <c r="F29">
        <v>73.900000000000006</v>
      </c>
      <c r="I29" s="5">
        <f>[1]data!$B$62</f>
        <v>2.1</v>
      </c>
      <c r="J29" s="5">
        <f t="shared" si="0"/>
        <v>62.768995780436008</v>
      </c>
      <c r="M29">
        <v>-20.701500632999998</v>
      </c>
      <c r="N29">
        <v>307.02</v>
      </c>
      <c r="Q29">
        <v>2.368265246</v>
      </c>
      <c r="T29" s="4"/>
    </row>
    <row r="30" spans="2:20" x14ac:dyDescent="0.35">
      <c r="B30" t="s">
        <v>49</v>
      </c>
      <c r="E30">
        <v>0.94850948499999999</v>
      </c>
      <c r="F30">
        <v>74.5</v>
      </c>
      <c r="I30" s="5">
        <f>[1]data!$B$62</f>
        <v>2.1</v>
      </c>
      <c r="J30" s="5">
        <f t="shared" si="0"/>
        <v>62.847653669885148</v>
      </c>
      <c r="M30">
        <v>16.650909503000001</v>
      </c>
      <c r="N30">
        <v>308.45999999999998</v>
      </c>
      <c r="Q30">
        <v>1.862630966</v>
      </c>
      <c r="T30" s="4"/>
    </row>
    <row r="31" spans="2:20" x14ac:dyDescent="0.35">
      <c r="B31" t="s">
        <v>50</v>
      </c>
      <c r="E31">
        <v>1.0840108399999999</v>
      </c>
      <c r="F31">
        <v>74.599999999999994</v>
      </c>
      <c r="I31" s="5">
        <f>[1]data!$B$62</f>
        <v>2.1</v>
      </c>
      <c r="J31" s="5">
        <f t="shared" si="0"/>
        <v>63.162285227681842</v>
      </c>
      <c r="M31">
        <v>5.7769198949999998</v>
      </c>
      <c r="N31">
        <v>306.88</v>
      </c>
      <c r="Q31">
        <v>1.9755955839999999</v>
      </c>
      <c r="T31" s="4"/>
    </row>
    <row r="32" spans="2:20" x14ac:dyDescent="0.35">
      <c r="B32" t="s">
        <v>51</v>
      </c>
      <c r="E32">
        <v>1.4884979700000001</v>
      </c>
      <c r="F32">
        <v>75</v>
      </c>
      <c r="I32" s="5">
        <f>[1]data!$B$62</f>
        <v>2.1</v>
      </c>
      <c r="J32" s="5">
        <f t="shared" si="0"/>
        <v>63.555574674927676</v>
      </c>
      <c r="M32">
        <v>3.5252441879999998</v>
      </c>
      <c r="N32">
        <v>301.01</v>
      </c>
      <c r="Q32">
        <v>2.6102088170000002</v>
      </c>
      <c r="T32" s="4"/>
    </row>
    <row r="33" spans="2:20" x14ac:dyDescent="0.35">
      <c r="B33" t="s">
        <v>52</v>
      </c>
      <c r="E33">
        <v>1.4884979700000001</v>
      </c>
      <c r="F33">
        <v>75</v>
      </c>
      <c r="I33" s="5">
        <f>[1]data!$B$63</f>
        <v>2.4</v>
      </c>
      <c r="J33" s="5">
        <f t="shared" si="0"/>
        <v>64.312495676676235</v>
      </c>
      <c r="M33">
        <v>-5.1788157119999996</v>
      </c>
      <c r="N33">
        <v>291.12</v>
      </c>
      <c r="Q33">
        <v>2.8918449970000002</v>
      </c>
      <c r="T33" s="4"/>
    </row>
    <row r="34" spans="2:20" x14ac:dyDescent="0.35">
      <c r="B34" t="s">
        <v>53</v>
      </c>
      <c r="E34">
        <v>1.342281879</v>
      </c>
      <c r="F34">
        <v>75.5</v>
      </c>
      <c r="I34" s="5">
        <f>[1]data!$B$63</f>
        <v>2.4</v>
      </c>
      <c r="J34" s="5">
        <f t="shared" si="0"/>
        <v>64.393087776521668</v>
      </c>
      <c r="M34">
        <v>-2.697270311</v>
      </c>
      <c r="N34">
        <v>300.14</v>
      </c>
      <c r="Q34">
        <v>2.914285714</v>
      </c>
      <c r="T34" s="4"/>
    </row>
    <row r="35" spans="2:20" x14ac:dyDescent="0.35">
      <c r="B35" t="s">
        <v>54</v>
      </c>
      <c r="E35">
        <v>1.3404825739999999</v>
      </c>
      <c r="F35">
        <v>75.599999999999994</v>
      </c>
      <c r="I35" s="5">
        <f>[1]data!$B$63</f>
        <v>2.4</v>
      </c>
      <c r="J35" s="5">
        <f t="shared" si="0"/>
        <v>64.715456175903526</v>
      </c>
      <c r="M35">
        <v>-2.538451512</v>
      </c>
      <c r="N35">
        <v>299.08999999999997</v>
      </c>
      <c r="Q35">
        <v>2.8490028490000001</v>
      </c>
      <c r="T35" s="4"/>
    </row>
    <row r="36" spans="2:20" x14ac:dyDescent="0.35">
      <c r="B36" t="s">
        <v>55</v>
      </c>
      <c r="E36">
        <v>1.3333333329999999</v>
      </c>
      <c r="F36">
        <v>76</v>
      </c>
      <c r="I36" s="5">
        <f>[1]data!$B$63</f>
        <v>2.4</v>
      </c>
      <c r="J36" s="5">
        <f t="shared" si="0"/>
        <v>65.118416675130817</v>
      </c>
      <c r="M36">
        <v>-0.647819009</v>
      </c>
      <c r="N36">
        <v>299.06</v>
      </c>
      <c r="Q36">
        <v>2.6003391749999998</v>
      </c>
      <c r="T36" s="4"/>
    </row>
    <row r="37" spans="2:20" x14ac:dyDescent="0.35">
      <c r="B37" t="s">
        <v>56</v>
      </c>
      <c r="E37">
        <v>1.2</v>
      </c>
      <c r="F37">
        <v>75.900000000000006</v>
      </c>
      <c r="I37" s="5">
        <f>[1]data!$B$64</f>
        <v>2.7</v>
      </c>
      <c r="J37" s="5">
        <f t="shared" si="0"/>
        <v>66.097117858865602</v>
      </c>
      <c r="M37">
        <v>0.41907117300000002</v>
      </c>
      <c r="N37">
        <v>292.33999999999997</v>
      </c>
      <c r="Q37">
        <v>2.304665542</v>
      </c>
      <c r="T37" s="4"/>
    </row>
    <row r="38" spans="2:20" x14ac:dyDescent="0.35">
      <c r="B38" t="s">
        <v>57</v>
      </c>
      <c r="E38">
        <v>1.324503311</v>
      </c>
      <c r="F38">
        <v>76.5</v>
      </c>
      <c r="I38" s="5">
        <f>[1]data!$B$64</f>
        <v>2.7</v>
      </c>
      <c r="J38" s="5">
        <f t="shared" si="0"/>
        <v>66.179946327360398</v>
      </c>
      <c r="M38">
        <v>-1.75917905</v>
      </c>
      <c r="N38">
        <v>294.86</v>
      </c>
      <c r="Q38">
        <v>2.1654636310000002</v>
      </c>
      <c r="T38" s="4"/>
    </row>
    <row r="39" spans="2:20" x14ac:dyDescent="0.35">
      <c r="B39" t="s">
        <v>58</v>
      </c>
      <c r="E39">
        <v>1.3227513230000001</v>
      </c>
      <c r="F39">
        <v>76.599999999999994</v>
      </c>
      <c r="I39" s="5">
        <f>[1]data!$B$64</f>
        <v>2.7</v>
      </c>
      <c r="J39" s="5">
        <f t="shared" si="0"/>
        <v>66.511260201339695</v>
      </c>
      <c r="M39">
        <v>-1.5814637730000001</v>
      </c>
      <c r="N39">
        <v>294.36</v>
      </c>
      <c r="Q39">
        <v>2.1052631580000001</v>
      </c>
      <c r="T39" s="4"/>
    </row>
    <row r="40" spans="2:20" x14ac:dyDescent="0.35">
      <c r="B40" t="s">
        <v>59</v>
      </c>
      <c r="E40">
        <v>1.447368421</v>
      </c>
      <c r="F40">
        <v>77.099999999999994</v>
      </c>
      <c r="I40" s="5">
        <f>[1]data!$B$64</f>
        <v>2.7</v>
      </c>
      <c r="J40" s="5">
        <f t="shared" si="0"/>
        <v>66.925402543813789</v>
      </c>
      <c r="M40">
        <v>-1.324149</v>
      </c>
      <c r="N40">
        <v>295.10000000000002</v>
      </c>
      <c r="Q40">
        <v>2.2589531680000001</v>
      </c>
      <c r="T40" s="4"/>
    </row>
    <row r="41" spans="2:20" x14ac:dyDescent="0.35">
      <c r="B41" t="s">
        <v>60</v>
      </c>
      <c r="E41">
        <v>1.8445322790000001</v>
      </c>
      <c r="F41">
        <v>77.3</v>
      </c>
      <c r="I41" s="5">
        <f>[1]data!$B$65</f>
        <v>2.9</v>
      </c>
      <c r="J41" s="5">
        <f t="shared" si="0"/>
        <v>68.071182140953255</v>
      </c>
      <c r="M41">
        <v>-2.2268591369999999</v>
      </c>
      <c r="N41">
        <v>285.83</v>
      </c>
      <c r="Q41">
        <v>2.1978021980000002</v>
      </c>
      <c r="T41" s="4"/>
    </row>
    <row r="42" spans="2:20" x14ac:dyDescent="0.35">
      <c r="B42" t="s">
        <v>61</v>
      </c>
      <c r="E42">
        <v>1.9607843140000001</v>
      </c>
      <c r="F42">
        <v>78</v>
      </c>
      <c r="I42" s="5">
        <f>[1]data!$B$65</f>
        <v>2.9</v>
      </c>
      <c r="J42" s="5">
        <f t="shared" si="0"/>
        <v>68.156484374212567</v>
      </c>
      <c r="M42">
        <v>-47.585294716</v>
      </c>
      <c r="N42">
        <v>154.55000000000001</v>
      </c>
      <c r="Q42">
        <v>2.2282608700000002</v>
      </c>
      <c r="T42" s="4"/>
    </row>
    <row r="43" spans="2:20" x14ac:dyDescent="0.35">
      <c r="B43" t="s">
        <v>62</v>
      </c>
      <c r="E43">
        <v>2.3498694520000001</v>
      </c>
      <c r="F43">
        <v>78.400000000000006</v>
      </c>
      <c r="I43" s="5">
        <f>[1]data!$B$65</f>
        <v>2.9</v>
      </c>
      <c r="J43" s="5">
        <f t="shared" si="0"/>
        <v>68.497693307249946</v>
      </c>
      <c r="M43">
        <v>-15.433482809999999</v>
      </c>
      <c r="N43">
        <v>248.93</v>
      </c>
      <c r="Q43">
        <v>2.3874118289999999</v>
      </c>
      <c r="T43" s="4"/>
    </row>
    <row r="44" spans="2:20" x14ac:dyDescent="0.35">
      <c r="B44" t="s">
        <v>63</v>
      </c>
      <c r="E44">
        <v>2.2049286640000001</v>
      </c>
      <c r="F44">
        <v>78.8</v>
      </c>
      <c r="I44" s="5">
        <f>[1]data!$B$65</f>
        <v>2.9</v>
      </c>
      <c r="J44" s="5">
        <f t="shared" si="0"/>
        <v>68.924204473546638</v>
      </c>
      <c r="M44">
        <v>18.092172144999999</v>
      </c>
      <c r="N44">
        <v>348.49</v>
      </c>
      <c r="Q44">
        <v>2.2629310340000002</v>
      </c>
      <c r="T44" s="4"/>
    </row>
    <row r="45" spans="2:20" x14ac:dyDescent="0.35">
      <c r="B45" t="s">
        <v>64</v>
      </c>
      <c r="E45">
        <v>1.811125485</v>
      </c>
      <c r="F45">
        <v>78.7</v>
      </c>
      <c r="I45" s="5">
        <f>[1]data!$B$66</f>
        <v>3.1</v>
      </c>
      <c r="J45" s="5">
        <f t="shared" si="0"/>
        <v>70.248897978279928</v>
      </c>
      <c r="M45">
        <v>53.577301192999997</v>
      </c>
      <c r="N45">
        <v>438.97</v>
      </c>
      <c r="Q45">
        <v>2.2043010750000001</v>
      </c>
      <c r="T45" s="4"/>
    </row>
    <row r="46" spans="2:20" x14ac:dyDescent="0.35">
      <c r="B46" t="s">
        <v>65</v>
      </c>
      <c r="E46">
        <v>2.307692308</v>
      </c>
      <c r="F46">
        <v>79.8</v>
      </c>
      <c r="I46" s="5">
        <f>[1]data!$B$66</f>
        <v>3.1</v>
      </c>
      <c r="J46" s="5">
        <f t="shared" si="0"/>
        <v>70.336929178753948</v>
      </c>
      <c r="M46">
        <v>185.73924296300001</v>
      </c>
      <c r="N46">
        <v>441.61</v>
      </c>
      <c r="Q46">
        <v>2.8176501859999998</v>
      </c>
      <c r="T46" s="4"/>
    </row>
    <row r="47" spans="2:20" x14ac:dyDescent="0.35">
      <c r="B47" t="s">
        <v>66</v>
      </c>
      <c r="E47">
        <v>2.423469388</v>
      </c>
      <c r="F47">
        <v>80.3</v>
      </c>
      <c r="I47" s="5">
        <f>[1]data!$B$66</f>
        <v>3.1</v>
      </c>
      <c r="J47" s="5">
        <f t="shared" si="0"/>
        <v>70.689053980650101</v>
      </c>
      <c r="M47">
        <v>33.836821596</v>
      </c>
      <c r="N47">
        <v>333.16</v>
      </c>
      <c r="Q47">
        <v>3.2326444090000002</v>
      </c>
      <c r="T47" s="4"/>
    </row>
    <row r="48" spans="2:20" x14ac:dyDescent="0.35">
      <c r="B48" t="s">
        <v>67</v>
      </c>
      <c r="E48">
        <v>2.6649746190000001</v>
      </c>
      <c r="F48">
        <v>80.900000000000006</v>
      </c>
      <c r="I48" s="5">
        <f>[1]data!$B$66</f>
        <v>3.1</v>
      </c>
      <c r="J48" s="5">
        <f t="shared" si="0"/>
        <v>71.129209983020274</v>
      </c>
      <c r="M48">
        <v>-22.755315791000001</v>
      </c>
      <c r="N48">
        <v>269.19</v>
      </c>
      <c r="Q48">
        <v>3.4773445729999999</v>
      </c>
      <c r="T48" s="4"/>
    </row>
    <row r="49" spans="2:20" x14ac:dyDescent="0.35">
      <c r="B49" t="s">
        <v>68</v>
      </c>
      <c r="E49">
        <v>2.9224904700000001</v>
      </c>
      <c r="F49">
        <v>81</v>
      </c>
      <c r="I49" s="5">
        <f>[1]data!$B$67</f>
        <v>2</v>
      </c>
      <c r="J49" s="5">
        <f t="shared" si="0"/>
        <v>71.682548957428494</v>
      </c>
      <c r="M49">
        <v>-24.393466524000001</v>
      </c>
      <c r="N49">
        <v>331.89</v>
      </c>
      <c r="Q49">
        <v>3.7348763809999999</v>
      </c>
      <c r="T49" s="4"/>
    </row>
    <row r="50" spans="2:20" x14ac:dyDescent="0.35">
      <c r="B50" t="s">
        <v>69</v>
      </c>
      <c r="E50">
        <v>2.5062656639999998</v>
      </c>
      <c r="F50">
        <v>81.8</v>
      </c>
      <c r="I50" s="5">
        <f>[1]data!$B$67</f>
        <v>2</v>
      </c>
      <c r="J50" s="5">
        <f t="shared" si="0"/>
        <v>71.772376713014239</v>
      </c>
      <c r="M50">
        <v>-28.156065305999999</v>
      </c>
      <c r="N50">
        <v>317.27</v>
      </c>
      <c r="Q50">
        <v>3.4126163389999999</v>
      </c>
      <c r="T50" s="4"/>
    </row>
    <row r="51" spans="2:20" x14ac:dyDescent="0.35">
      <c r="B51" t="s">
        <v>70</v>
      </c>
      <c r="E51">
        <v>1.7434620169999999</v>
      </c>
      <c r="F51">
        <v>81.7</v>
      </c>
      <c r="I51" s="5">
        <f>[1]data!$B$67</f>
        <v>2</v>
      </c>
      <c r="J51" s="5">
        <f t="shared" si="0"/>
        <v>72.131687735357247</v>
      </c>
      <c r="M51">
        <v>-7.5549285629999998</v>
      </c>
      <c r="N51">
        <v>307.99</v>
      </c>
      <c r="Q51">
        <v>2.72073922</v>
      </c>
      <c r="T51" s="4"/>
    </row>
    <row r="52" spans="2:20" x14ac:dyDescent="0.35">
      <c r="B52" t="s">
        <v>71</v>
      </c>
      <c r="E52">
        <v>2.101359703</v>
      </c>
      <c r="F52">
        <v>82.6</v>
      </c>
      <c r="I52" s="5">
        <f>[1]data!$B$67</f>
        <v>2</v>
      </c>
      <c r="J52" s="5">
        <f t="shared" si="0"/>
        <v>72.580826513285999</v>
      </c>
      <c r="M52">
        <v>14.350458784000001</v>
      </c>
      <c r="N52">
        <v>307.82</v>
      </c>
      <c r="Q52">
        <v>3.1059063139999998</v>
      </c>
      <c r="T52" s="4"/>
    </row>
    <row r="53" spans="2:20" x14ac:dyDescent="0.35">
      <c r="B53" t="s">
        <v>72</v>
      </c>
      <c r="E53">
        <v>2.3757201650000002</v>
      </c>
      <c r="F53">
        <v>82.924333333000007</v>
      </c>
      <c r="I53" s="5">
        <f>[1]data!$B$68</f>
        <v>3.3</v>
      </c>
      <c r="J53" s="5">
        <f t="shared" si="0"/>
        <v>74.128799335499991</v>
      </c>
      <c r="M53">
        <v>-16.975503931999999</v>
      </c>
      <c r="N53">
        <v>275.55</v>
      </c>
      <c r="Q53">
        <v>3.4989858009999999</v>
      </c>
      <c r="T53" s="4"/>
    </row>
    <row r="54" spans="2:20" x14ac:dyDescent="0.35">
      <c r="B54" t="s">
        <v>73</v>
      </c>
      <c r="E54">
        <v>3.4197229010000001</v>
      </c>
      <c r="F54">
        <v>84.597333332999995</v>
      </c>
      <c r="I54" s="5">
        <f>[1]data!$B$68</f>
        <v>3.3</v>
      </c>
      <c r="J54" s="5">
        <f t="shared" si="0"/>
        <v>74.221692567749997</v>
      </c>
      <c r="M54">
        <v>-22.750338828</v>
      </c>
      <c r="N54">
        <v>245.09</v>
      </c>
      <c r="Q54">
        <v>4.3833333330000004</v>
      </c>
      <c r="T54" s="4"/>
    </row>
    <row r="55" spans="2:20" x14ac:dyDescent="0.35">
      <c r="B55" t="s">
        <v>74</v>
      </c>
      <c r="E55">
        <v>4.8388412890000003</v>
      </c>
      <c r="F55">
        <v>85.653333333000006</v>
      </c>
      <c r="I55" s="5">
        <f>[1]data!$B$68</f>
        <v>3.3</v>
      </c>
      <c r="J55" s="5">
        <f t="shared" si="0"/>
        <v>74.593265496749993</v>
      </c>
      <c r="M55">
        <v>-16.698594109999998</v>
      </c>
      <c r="N55">
        <v>256.56</v>
      </c>
      <c r="Q55">
        <v>5.3473263370000002</v>
      </c>
      <c r="T55" s="4"/>
    </row>
    <row r="56" spans="2:20" x14ac:dyDescent="0.35">
      <c r="B56" t="s">
        <v>75</v>
      </c>
      <c r="E56">
        <v>3.8240516549999999</v>
      </c>
      <c r="F56">
        <v>85.758666667</v>
      </c>
      <c r="I56" s="5">
        <f>[1]data!$B$68</f>
        <v>3.3</v>
      </c>
      <c r="J56" s="5">
        <f t="shared" si="0"/>
        <v>75.057731657999994</v>
      </c>
      <c r="M56">
        <v>-20.037684361</v>
      </c>
      <c r="N56">
        <v>246.14</v>
      </c>
      <c r="Q56">
        <v>3.7860082300000002</v>
      </c>
      <c r="T56" s="4"/>
    </row>
    <row r="57" spans="2:20" x14ac:dyDescent="0.35">
      <c r="B57" t="s">
        <v>76</v>
      </c>
      <c r="E57">
        <v>3.005551246</v>
      </c>
      <c r="F57">
        <v>85.416666667000001</v>
      </c>
      <c r="I57" s="5">
        <f>[1]data!$B$69</f>
        <v>2</v>
      </c>
      <c r="J57" s="5">
        <f t="shared" si="0"/>
        <v>75.641631974999996</v>
      </c>
      <c r="M57">
        <v>-7.987661042</v>
      </c>
      <c r="N57">
        <v>253.54</v>
      </c>
      <c r="Q57">
        <v>2.3844520660000001</v>
      </c>
      <c r="T57" s="4"/>
    </row>
    <row r="58" spans="2:20" x14ac:dyDescent="0.35">
      <c r="B58" t="s">
        <v>77</v>
      </c>
      <c r="E58">
        <v>2.088718321</v>
      </c>
      <c r="F58">
        <v>86.364333333000005</v>
      </c>
      <c r="I58" s="5">
        <f>[1]data!$B$69</f>
        <v>2</v>
      </c>
      <c r="J58" s="5">
        <f t="shared" si="0"/>
        <v>75.736420987499997</v>
      </c>
      <c r="M58">
        <v>11.587580073</v>
      </c>
      <c r="N58">
        <v>273.49</v>
      </c>
      <c r="Q58">
        <v>1.4370110169999999</v>
      </c>
      <c r="T58" s="4"/>
    </row>
    <row r="59" spans="2:20" x14ac:dyDescent="0.35">
      <c r="B59" t="s">
        <v>78</v>
      </c>
      <c r="E59">
        <v>1.4897260269999999</v>
      </c>
      <c r="F59">
        <v>86.929333333000002</v>
      </c>
      <c r="I59" s="5">
        <f>[1]data!$B$69</f>
        <v>2</v>
      </c>
      <c r="J59" s="5">
        <f t="shared" si="0"/>
        <v>76.115577037499989</v>
      </c>
      <c r="M59">
        <v>7.397879638</v>
      </c>
      <c r="N59">
        <v>275.54000000000002</v>
      </c>
      <c r="Q59">
        <v>1.312460468</v>
      </c>
      <c r="T59" s="4"/>
    </row>
    <row r="60" spans="2:20" x14ac:dyDescent="0.35">
      <c r="B60" t="s">
        <v>79</v>
      </c>
      <c r="E60">
        <v>2.1031887930000002</v>
      </c>
      <c r="F60">
        <v>87.562333332999998</v>
      </c>
      <c r="I60" s="5">
        <f>[1]data!$B$69</f>
        <v>2</v>
      </c>
      <c r="J60" s="5">
        <f t="shared" si="0"/>
        <v>76.589522099999996</v>
      </c>
      <c r="L60">
        <v>290.83999999999997</v>
      </c>
      <c r="M60">
        <v>18.160396521999999</v>
      </c>
      <c r="N60">
        <v>290.83999999999997</v>
      </c>
      <c r="Q60">
        <v>2.7914353690000002</v>
      </c>
      <c r="T60" s="4"/>
    </row>
    <row r="61" spans="2:20" x14ac:dyDescent="0.35">
      <c r="B61" t="s">
        <v>80</v>
      </c>
      <c r="E61">
        <v>3.2745365849999999</v>
      </c>
      <c r="F61">
        <v>88.213666666999998</v>
      </c>
      <c r="I61" s="5">
        <f>[1]data!$B$70</f>
        <v>1.3</v>
      </c>
      <c r="J61" s="5">
        <f t="shared" si="0"/>
        <v>76.637924999999996</v>
      </c>
      <c r="L61">
        <v>310.977755</v>
      </c>
      <c r="M61">
        <v>-13.51791946</v>
      </c>
      <c r="N61">
        <v>219.26666700000001</v>
      </c>
      <c r="Q61">
        <v>4.5461796139999997</v>
      </c>
      <c r="T61" s="4"/>
    </row>
    <row r="62" spans="2:20" x14ac:dyDescent="0.35">
      <c r="B62" t="s">
        <v>81</v>
      </c>
      <c r="E62">
        <v>3.4566738579999998</v>
      </c>
      <c r="F62">
        <v>89.349666666999994</v>
      </c>
      <c r="I62" s="5">
        <f>[1]data!$B$70</f>
        <v>1.3</v>
      </c>
      <c r="J62" s="5">
        <f t="shared" ref="J62:J67" si="1">J66*(1-I66/100)</f>
        <v>76.733962500000004</v>
      </c>
      <c r="L62">
        <v>263.107056</v>
      </c>
      <c r="M62">
        <v>-18.278547662000001</v>
      </c>
      <c r="N62">
        <v>223.5</v>
      </c>
      <c r="Q62">
        <v>5.1629151579999997</v>
      </c>
      <c r="T62" s="4"/>
    </row>
    <row r="63" spans="2:20" x14ac:dyDescent="0.35">
      <c r="B63" t="s">
        <v>82</v>
      </c>
      <c r="E63">
        <v>3.0852646589999999</v>
      </c>
      <c r="F63">
        <v>89.611333333000005</v>
      </c>
      <c r="I63" s="5">
        <f>[1]data!$B$70</f>
        <v>1.3</v>
      </c>
      <c r="J63" s="5">
        <f t="shared" si="1"/>
        <v>77.118112499999995</v>
      </c>
      <c r="L63">
        <v>279.28384599999998</v>
      </c>
      <c r="M63">
        <v>-18.535723669999999</v>
      </c>
      <c r="N63">
        <v>224.466667</v>
      </c>
      <c r="Q63">
        <v>4.6823786480000003</v>
      </c>
      <c r="T63" s="4"/>
    </row>
    <row r="64" spans="2:20" x14ac:dyDescent="0.35">
      <c r="B64" t="s">
        <v>83</v>
      </c>
      <c r="E64">
        <v>3.3762614819999999</v>
      </c>
      <c r="F64">
        <v>90.518666667000005</v>
      </c>
      <c r="I64" s="5">
        <f>[1]data!$B$70</f>
        <v>1.3</v>
      </c>
      <c r="J64" s="5">
        <f t="shared" si="1"/>
        <v>77.598299999999995</v>
      </c>
      <c r="L64">
        <v>296.90782999999999</v>
      </c>
      <c r="M64">
        <v>-21.950213175999998</v>
      </c>
      <c r="N64">
        <v>227</v>
      </c>
      <c r="Q64">
        <v>4.6597747260000002</v>
      </c>
      <c r="T64" s="4"/>
    </row>
    <row r="65" spans="2:20" x14ac:dyDescent="0.35">
      <c r="B65" t="s">
        <v>84</v>
      </c>
      <c r="E65">
        <v>4.1184094680000003</v>
      </c>
      <c r="F65">
        <v>91.846666666999994</v>
      </c>
      <c r="I65" s="5">
        <f>[1]data!$B$71</f>
        <v>2.5</v>
      </c>
      <c r="J65" s="5">
        <f t="shared" si="1"/>
        <v>78.602999999999994</v>
      </c>
      <c r="L65">
        <v>302.59850699999998</v>
      </c>
      <c r="M65">
        <v>5.3207658779999996</v>
      </c>
      <c r="N65">
        <v>230.933333</v>
      </c>
      <c r="Q65">
        <v>5.3402502289999996</v>
      </c>
      <c r="T65" s="4"/>
    </row>
    <row r="66" spans="2:20" x14ac:dyDescent="0.35">
      <c r="B66" t="s">
        <v>85</v>
      </c>
      <c r="E66">
        <v>4.3771847680000002</v>
      </c>
      <c r="F66">
        <v>93.260666666999995</v>
      </c>
      <c r="I66" s="5">
        <f>[1]data!$B$71</f>
        <v>2.5</v>
      </c>
      <c r="J66" s="5">
        <f t="shared" si="1"/>
        <v>78.70150000000001</v>
      </c>
      <c r="L66">
        <v>306.34029099999998</v>
      </c>
      <c r="M66">
        <v>5.1155852350000002</v>
      </c>
      <c r="N66">
        <v>234.933333</v>
      </c>
      <c r="Q66">
        <v>5.178865439</v>
      </c>
      <c r="T66" s="4"/>
    </row>
    <row r="67" spans="2:20" x14ac:dyDescent="0.35">
      <c r="B67" t="s">
        <v>86</v>
      </c>
      <c r="E67">
        <v>4.7058779770000001</v>
      </c>
      <c r="F67">
        <v>93.828333333000003</v>
      </c>
      <c r="I67" s="5">
        <f>[1]data!$B$71</f>
        <v>2.5</v>
      </c>
      <c r="J67" s="5">
        <f t="shared" si="1"/>
        <v>79.095500000000001</v>
      </c>
      <c r="L67">
        <v>311.12984799999998</v>
      </c>
      <c r="M67">
        <v>5.2420549369999998</v>
      </c>
      <c r="N67">
        <v>236.23333299999999</v>
      </c>
      <c r="Q67">
        <v>5.3526166689999997</v>
      </c>
      <c r="T67" s="4"/>
    </row>
    <row r="68" spans="2:20" x14ac:dyDescent="0.35">
      <c r="B68" t="s">
        <v>87</v>
      </c>
      <c r="E68">
        <v>4.64581891</v>
      </c>
      <c r="F68">
        <v>94.724000000000004</v>
      </c>
      <c r="I68" s="5">
        <f>[1]data!$B$71</f>
        <v>2.5</v>
      </c>
      <c r="J68" s="5">
        <f>J72*(1-I72/100)</f>
        <v>79.587999999999994</v>
      </c>
      <c r="L68">
        <v>316.85687899999999</v>
      </c>
      <c r="M68">
        <v>5.1248163</v>
      </c>
      <c r="N68">
        <v>238.63333299999999</v>
      </c>
      <c r="Q68">
        <v>5.2779006339999999</v>
      </c>
      <c r="T68" s="4"/>
    </row>
    <row r="69" spans="2:20" x14ac:dyDescent="0.35">
      <c r="B69" t="s">
        <v>88</v>
      </c>
      <c r="E69">
        <v>3.4902373519999998</v>
      </c>
      <c r="F69">
        <v>95.052333333000007</v>
      </c>
      <c r="I69" s="5">
        <f>[1]data!$B$72</f>
        <v>1.5</v>
      </c>
      <c r="J69">
        <v>79.8</v>
      </c>
      <c r="L69">
        <v>323.353565</v>
      </c>
      <c r="M69">
        <v>3.7384529500000001</v>
      </c>
      <c r="N69">
        <v>239.566667</v>
      </c>
      <c r="Q69">
        <v>3.8238702199999999</v>
      </c>
      <c r="T69" s="4"/>
    </row>
    <row r="70" spans="2:20" x14ac:dyDescent="0.35">
      <c r="B70" t="s">
        <v>89</v>
      </c>
      <c r="E70">
        <v>2.7553595299999998</v>
      </c>
      <c r="F70">
        <v>95.830333332999999</v>
      </c>
      <c r="I70" s="5">
        <f>[1]data!$B$72</f>
        <v>1.5</v>
      </c>
      <c r="J70">
        <v>79.900000000000006</v>
      </c>
      <c r="L70">
        <v>329.535349</v>
      </c>
      <c r="M70">
        <v>3.1072644770000002</v>
      </c>
      <c r="N70">
        <v>242.23333299999999</v>
      </c>
      <c r="Q70">
        <v>3.1450120959999999</v>
      </c>
      <c r="T70" s="4"/>
    </row>
    <row r="71" spans="2:20" x14ac:dyDescent="0.35">
      <c r="B71" t="s">
        <v>90</v>
      </c>
      <c r="E71">
        <v>2.412561948</v>
      </c>
      <c r="F71">
        <v>96.091999999999999</v>
      </c>
      <c r="I71" s="5">
        <f>[1]data!$B$72</f>
        <v>1.5</v>
      </c>
      <c r="J71">
        <v>80.3</v>
      </c>
      <c r="L71">
        <v>335.70624099999998</v>
      </c>
      <c r="M71">
        <v>2.9067307790000001</v>
      </c>
      <c r="N71">
        <v>243.1</v>
      </c>
      <c r="Q71">
        <v>2.9012170959999999</v>
      </c>
      <c r="T71" s="4"/>
    </row>
    <row r="72" spans="2:20" x14ac:dyDescent="0.35">
      <c r="B72" t="s">
        <v>91</v>
      </c>
      <c r="E72">
        <v>2.6698619149999998</v>
      </c>
      <c r="F72">
        <v>97.253</v>
      </c>
      <c r="I72" s="5">
        <f>[1]data!$B$72</f>
        <v>1.5</v>
      </c>
      <c r="J72">
        <v>80.8</v>
      </c>
      <c r="L72">
        <v>341.43751600000002</v>
      </c>
      <c r="M72">
        <v>3.0870234710000002</v>
      </c>
      <c r="N72">
        <v>246</v>
      </c>
      <c r="Q72">
        <v>3.0107828040000002</v>
      </c>
      <c r="T72" s="4"/>
    </row>
    <row r="73" spans="2:20" x14ac:dyDescent="0.35">
      <c r="B73" t="s">
        <v>92</v>
      </c>
      <c r="E73">
        <v>2.7763653009999998</v>
      </c>
      <c r="F73">
        <v>97.691333333000003</v>
      </c>
      <c r="I73">
        <v>2.130325815</v>
      </c>
      <c r="J73">
        <v>81.5</v>
      </c>
      <c r="L73">
        <v>347.24930000000001</v>
      </c>
      <c r="M73">
        <v>3.255878665</v>
      </c>
      <c r="N73">
        <v>247.36666700000001</v>
      </c>
      <c r="Q73">
        <v>3.2366071430000001</v>
      </c>
      <c r="T73" s="4"/>
    </row>
    <row r="74" spans="2:20" x14ac:dyDescent="0.35">
      <c r="B74" t="s">
        <v>93</v>
      </c>
      <c r="E74">
        <v>2.6793882240000002</v>
      </c>
      <c r="F74">
        <v>98.397999999999996</v>
      </c>
      <c r="I74">
        <v>2.1276595739999999</v>
      </c>
      <c r="J74">
        <v>81.599999999999994</v>
      </c>
      <c r="L74">
        <v>352.52330899999998</v>
      </c>
      <c r="M74">
        <v>3.0961882529999998</v>
      </c>
      <c r="N74">
        <v>249.73333299999999</v>
      </c>
      <c r="Q74">
        <v>3.062913907</v>
      </c>
      <c r="T74" s="4"/>
    </row>
    <row r="75" spans="2:20" x14ac:dyDescent="0.35">
      <c r="B75" t="s">
        <v>94</v>
      </c>
      <c r="E75">
        <v>2.70886234</v>
      </c>
      <c r="F75">
        <v>98.694999999999993</v>
      </c>
      <c r="I75">
        <v>2.3661270239999999</v>
      </c>
      <c r="J75">
        <v>82.2</v>
      </c>
      <c r="L75">
        <v>356.99577199999999</v>
      </c>
      <c r="M75">
        <v>3.1948445080000001</v>
      </c>
      <c r="N75">
        <v>250.86666700000001</v>
      </c>
      <c r="Q75">
        <v>3.218264338</v>
      </c>
      <c r="T75" s="4"/>
    </row>
    <row r="76" spans="2:20" x14ac:dyDescent="0.35">
      <c r="B76" t="s">
        <v>95</v>
      </c>
      <c r="E76">
        <v>2.1027628969999999</v>
      </c>
      <c r="F76">
        <v>99.298000000000002</v>
      </c>
      <c r="I76">
        <v>1.8564356440000001</v>
      </c>
      <c r="J76">
        <v>82.3</v>
      </c>
      <c r="L76">
        <v>360.877634</v>
      </c>
      <c r="M76">
        <v>2.6287264229999998</v>
      </c>
      <c r="N76">
        <v>252.466667</v>
      </c>
      <c r="Q76">
        <v>2.7052746060000001</v>
      </c>
      <c r="T76" s="4"/>
    </row>
    <row r="77" spans="2:20" x14ac:dyDescent="0.35">
      <c r="B77" t="s">
        <v>96</v>
      </c>
      <c r="E77">
        <v>1.7391512039999999</v>
      </c>
      <c r="F77">
        <v>99.390333333000001</v>
      </c>
      <c r="I77">
        <v>1.349693252</v>
      </c>
      <c r="J77">
        <v>82.6</v>
      </c>
      <c r="L77">
        <v>364.24172199999998</v>
      </c>
      <c r="M77">
        <v>2.6276782070000002</v>
      </c>
      <c r="N77">
        <v>253.86666700000001</v>
      </c>
      <c r="Q77">
        <v>2.675675676</v>
      </c>
      <c r="T77" s="4"/>
    </row>
    <row r="78" spans="2:20" x14ac:dyDescent="0.35">
      <c r="B78" t="s">
        <v>97</v>
      </c>
      <c r="E78">
        <v>1.720563426</v>
      </c>
      <c r="F78">
        <v>100.09099999999999</v>
      </c>
      <c r="I78">
        <v>1.1029411760000001</v>
      </c>
      <c r="J78">
        <v>82.5</v>
      </c>
      <c r="L78">
        <v>367.12964699999998</v>
      </c>
      <c r="M78">
        <v>2.4959959989999998</v>
      </c>
      <c r="N78">
        <v>255.966667</v>
      </c>
      <c r="Q78">
        <v>2.597054886</v>
      </c>
      <c r="T78" s="4"/>
    </row>
    <row r="79" spans="2:20" x14ac:dyDescent="0.35">
      <c r="B79" t="s">
        <v>98</v>
      </c>
      <c r="E79">
        <v>1.456000811</v>
      </c>
      <c r="F79">
        <v>100.13200000000001</v>
      </c>
      <c r="I79">
        <v>1.581508516</v>
      </c>
      <c r="J79">
        <v>83.5</v>
      </c>
      <c r="L79">
        <v>369.26654500000001</v>
      </c>
      <c r="M79">
        <v>2.3917087399999999</v>
      </c>
      <c r="N79">
        <v>256.86666700000001</v>
      </c>
      <c r="Q79">
        <v>2.4783477679999999</v>
      </c>
      <c r="T79" s="4"/>
    </row>
    <row r="80" spans="2:20" x14ac:dyDescent="0.35">
      <c r="B80" t="s">
        <v>99</v>
      </c>
      <c r="E80">
        <v>0.93523199499999998</v>
      </c>
      <c r="F80">
        <v>100.226666667</v>
      </c>
      <c r="I80">
        <v>1.215066829</v>
      </c>
      <c r="J80">
        <v>83.3</v>
      </c>
      <c r="L80">
        <v>370.92641099999997</v>
      </c>
      <c r="M80">
        <v>1.9672561369999999</v>
      </c>
      <c r="N80">
        <v>257.433333</v>
      </c>
      <c r="Q80">
        <v>2.0251489079999998</v>
      </c>
      <c r="T80" s="4"/>
    </row>
    <row r="81" spans="2:20" x14ac:dyDescent="0.35">
      <c r="B81" t="s">
        <v>100</v>
      </c>
      <c r="E81">
        <v>0.100613406</v>
      </c>
      <c r="F81">
        <v>99.490333332999995</v>
      </c>
      <c r="I81">
        <v>0.96852300199999997</v>
      </c>
      <c r="J81">
        <v>83.4</v>
      </c>
      <c r="L81">
        <v>372.71173199999998</v>
      </c>
      <c r="M81">
        <v>0.99789902699999999</v>
      </c>
      <c r="N81">
        <v>256.39999999999998</v>
      </c>
      <c r="Q81">
        <v>1.026585944</v>
      </c>
      <c r="T81" s="4"/>
    </row>
    <row r="82" spans="2:20" x14ac:dyDescent="0.35">
      <c r="B82" t="s">
        <v>101</v>
      </c>
      <c r="E82">
        <v>-1.6651513999999999E-2</v>
      </c>
      <c r="F82">
        <v>100.074333333</v>
      </c>
      <c r="I82">
        <v>0.84848484800000001</v>
      </c>
      <c r="J82">
        <v>83.2</v>
      </c>
      <c r="M82">
        <v>0.97668967200000001</v>
      </c>
      <c r="N82">
        <v>258.46666699999997</v>
      </c>
      <c r="Q82">
        <v>1.0046972860000001</v>
      </c>
      <c r="T82" s="4"/>
    </row>
    <row r="83" spans="2:20" x14ac:dyDescent="0.35">
      <c r="B83" t="s">
        <v>102</v>
      </c>
      <c r="E83">
        <v>9.653923E-3</v>
      </c>
      <c r="F83">
        <v>100.141666667</v>
      </c>
      <c r="I83">
        <v>0</v>
      </c>
      <c r="J83">
        <v>83.5</v>
      </c>
      <c r="M83">
        <v>0.96029042200000003</v>
      </c>
      <c r="N83">
        <v>259.33333299999998</v>
      </c>
      <c r="Q83">
        <v>1.02717462</v>
      </c>
      <c r="T83" s="4"/>
    </row>
    <row r="84" spans="2:20" x14ac:dyDescent="0.35">
      <c r="B84" t="s">
        <v>103</v>
      </c>
      <c r="E84">
        <v>6.7181056000000003E-2</v>
      </c>
      <c r="F84">
        <v>100.294</v>
      </c>
      <c r="I84">
        <v>0.72028811500000001</v>
      </c>
      <c r="J84">
        <v>83.9</v>
      </c>
      <c r="M84">
        <v>0.98407380700000002</v>
      </c>
      <c r="N84">
        <v>259.96666699999997</v>
      </c>
      <c r="Q84">
        <v>1.0508562530000001</v>
      </c>
      <c r="T84" s="4"/>
    </row>
    <row r="85" spans="2:20" x14ac:dyDescent="0.35">
      <c r="B85" t="s">
        <v>104</v>
      </c>
      <c r="E85">
        <v>0.34676735800000003</v>
      </c>
      <c r="F85">
        <v>99.835333332999994</v>
      </c>
      <c r="I85">
        <v>1.1990407670000001</v>
      </c>
      <c r="J85">
        <v>84.4</v>
      </c>
      <c r="M85">
        <v>1.3910557720000001</v>
      </c>
      <c r="N85">
        <v>259.96666699999997</v>
      </c>
      <c r="Q85">
        <v>1.4721208960000001</v>
      </c>
      <c r="T85" s="4"/>
    </row>
    <row r="86" spans="2:20" x14ac:dyDescent="0.35">
      <c r="B86" t="s">
        <v>105</v>
      </c>
      <c r="E86">
        <v>0.35140545499999998</v>
      </c>
      <c r="F86">
        <v>100.426</v>
      </c>
      <c r="I86">
        <v>1.682692308</v>
      </c>
      <c r="J86">
        <v>84.6</v>
      </c>
      <c r="M86">
        <v>1.444415655</v>
      </c>
      <c r="N86">
        <v>262.2</v>
      </c>
      <c r="Q86">
        <v>1.5243508589999999</v>
      </c>
      <c r="T86" s="4"/>
    </row>
    <row r="87" spans="2:20" x14ac:dyDescent="0.35">
      <c r="B87" t="s">
        <v>106</v>
      </c>
      <c r="E87">
        <v>0.72630440200000002</v>
      </c>
      <c r="F87">
        <v>100.869</v>
      </c>
      <c r="I87">
        <v>2.395209581</v>
      </c>
      <c r="J87">
        <v>85.5</v>
      </c>
      <c r="M87">
        <v>1.889460157</v>
      </c>
      <c r="N87">
        <v>264.23333300000002</v>
      </c>
      <c r="Q87">
        <v>2.007722008</v>
      </c>
      <c r="T87" s="4"/>
    </row>
    <row r="88" spans="2:20" x14ac:dyDescent="0.35">
      <c r="B88" t="s">
        <v>107</v>
      </c>
      <c r="E88">
        <v>1.2111060149999999</v>
      </c>
      <c r="F88">
        <v>101.508666667</v>
      </c>
      <c r="I88">
        <v>2.6221692490000001</v>
      </c>
      <c r="J88">
        <v>86.1</v>
      </c>
      <c r="M88">
        <v>2.2438772889999998</v>
      </c>
      <c r="N88">
        <v>265.8</v>
      </c>
      <c r="Q88">
        <v>2.4778533829999998</v>
      </c>
      <c r="T88" s="4"/>
    </row>
    <row r="89" spans="2:20" x14ac:dyDescent="0.35">
      <c r="B89" t="s">
        <v>108</v>
      </c>
      <c r="E89">
        <v>2.1435296789999998</v>
      </c>
      <c r="F89">
        <v>101.97533333299999</v>
      </c>
      <c r="I89">
        <v>2.3696682459999998</v>
      </c>
      <c r="J89">
        <v>86.4</v>
      </c>
      <c r="M89">
        <v>2.9875622480000001</v>
      </c>
      <c r="N89">
        <v>267.73333300000002</v>
      </c>
      <c r="Q89">
        <v>3.2610091149999998</v>
      </c>
      <c r="T89" s="4"/>
    </row>
    <row r="90" spans="2:20" x14ac:dyDescent="0.35">
      <c r="B90" t="s">
        <v>109</v>
      </c>
      <c r="E90">
        <v>2.742981565</v>
      </c>
      <c r="F90">
        <v>103.180666667</v>
      </c>
      <c r="I90">
        <v>2.2458628840000001</v>
      </c>
      <c r="J90">
        <v>86.5</v>
      </c>
      <c r="M90">
        <v>3.5596235699999998</v>
      </c>
      <c r="N90">
        <v>271.53333300000003</v>
      </c>
      <c r="Q90">
        <v>3.8300038170000001</v>
      </c>
      <c r="T90" s="4"/>
    </row>
    <row r="91" spans="2:20" x14ac:dyDescent="0.35">
      <c r="B91" t="s">
        <v>110</v>
      </c>
      <c r="E91">
        <v>2.8168548649999998</v>
      </c>
      <c r="F91">
        <v>103.71033333299999</v>
      </c>
      <c r="I91">
        <v>1.2865497079999999</v>
      </c>
      <c r="J91">
        <v>86.6</v>
      </c>
      <c r="M91">
        <v>3.7845338759999998</v>
      </c>
      <c r="N91">
        <v>274.23333300000002</v>
      </c>
      <c r="Q91">
        <v>4.0247287409999997</v>
      </c>
      <c r="T91" s="4"/>
    </row>
    <row r="92" spans="2:20" x14ac:dyDescent="0.35">
      <c r="B92" t="s">
        <v>111</v>
      </c>
      <c r="E92">
        <v>3.0217452699999998</v>
      </c>
      <c r="F92">
        <v>104.57599999999999</v>
      </c>
      <c r="I92">
        <v>1.5098722419999999</v>
      </c>
      <c r="J92">
        <v>87.4</v>
      </c>
      <c r="M92">
        <v>3.987960873</v>
      </c>
      <c r="N92">
        <v>276.39999999999998</v>
      </c>
      <c r="Q92">
        <v>4.0967176150000002</v>
      </c>
      <c r="T92" s="4"/>
    </row>
    <row r="93" spans="2:20" x14ac:dyDescent="0.35">
      <c r="B93" t="s">
        <v>112</v>
      </c>
      <c r="E93">
        <v>2.7176506740000002</v>
      </c>
      <c r="F93">
        <v>104.746666667</v>
      </c>
      <c r="I93">
        <v>1.273148148</v>
      </c>
      <c r="J93">
        <v>87.5</v>
      </c>
      <c r="M93">
        <v>3.6354584210000001</v>
      </c>
      <c r="N93">
        <v>277.46666699999997</v>
      </c>
      <c r="Q93">
        <v>3.6802188240000002</v>
      </c>
      <c r="T93" s="4"/>
    </row>
    <row r="94" spans="2:20" x14ac:dyDescent="0.35">
      <c r="B94" t="s">
        <v>113</v>
      </c>
      <c r="E94">
        <v>2.4164733699999998</v>
      </c>
      <c r="F94">
        <v>105.67400000000001</v>
      </c>
      <c r="I94">
        <v>1.849710983</v>
      </c>
      <c r="J94">
        <v>88.1</v>
      </c>
      <c r="M94">
        <v>3.351338084</v>
      </c>
      <c r="N94">
        <v>280.63333299999999</v>
      </c>
      <c r="Q94">
        <v>3.3823529410000002</v>
      </c>
      <c r="T94" s="4"/>
    </row>
    <row r="95" spans="2:20" x14ac:dyDescent="0.35">
      <c r="B95" t="s">
        <v>114</v>
      </c>
      <c r="E95">
        <v>2.5153391979999999</v>
      </c>
      <c r="F95">
        <v>106.319</v>
      </c>
      <c r="I95">
        <v>2.3094688219999999</v>
      </c>
      <c r="J95">
        <v>88.6</v>
      </c>
      <c r="M95">
        <v>3.318342049</v>
      </c>
      <c r="N95">
        <v>283.33333299999998</v>
      </c>
      <c r="Q95">
        <v>3.2989690719999998</v>
      </c>
      <c r="T95" s="4"/>
    </row>
    <row r="96" spans="2:20" x14ac:dyDescent="0.35">
      <c r="B96" t="s">
        <v>115</v>
      </c>
      <c r="E96">
        <v>2.2682068540000002</v>
      </c>
      <c r="F96">
        <v>106.94799999999999</v>
      </c>
      <c r="I96">
        <v>2.1739130430000002</v>
      </c>
      <c r="J96">
        <v>89.3</v>
      </c>
      <c r="M96">
        <v>3.0752532559999999</v>
      </c>
      <c r="N96">
        <v>284.89999999999998</v>
      </c>
      <c r="Q96">
        <v>3.008785654</v>
      </c>
      <c r="T96" s="4"/>
    </row>
    <row r="97" spans="2:20" x14ac:dyDescent="0.35">
      <c r="B97" t="s">
        <v>116</v>
      </c>
      <c r="E97">
        <v>1.875</v>
      </c>
      <c r="F97">
        <v>106.710666667</v>
      </c>
      <c r="I97">
        <v>2.0571428570000001</v>
      </c>
      <c r="J97">
        <v>89.3</v>
      </c>
      <c r="M97">
        <v>2.486785196</v>
      </c>
      <c r="N97">
        <v>284.36666700000001</v>
      </c>
      <c r="Q97">
        <v>2.4463364909999998</v>
      </c>
      <c r="T97" s="4"/>
    </row>
    <row r="98" spans="2:20" x14ac:dyDescent="0.35">
      <c r="B98" t="s">
        <v>117</v>
      </c>
      <c r="E98">
        <v>2.0478074080000002</v>
      </c>
      <c r="F98">
        <v>107.83799999999999</v>
      </c>
      <c r="I98">
        <v>2.3836549379999998</v>
      </c>
      <c r="J98">
        <v>90.2</v>
      </c>
      <c r="M98">
        <v>2.9813518270000001</v>
      </c>
      <c r="N98">
        <v>289</v>
      </c>
      <c r="Q98">
        <v>2.9397818870000001</v>
      </c>
      <c r="T98" s="4"/>
    </row>
    <row r="99" spans="2:20" x14ac:dyDescent="0.35">
      <c r="B99" t="s">
        <v>118</v>
      </c>
      <c r="E99">
        <v>1.832848942</v>
      </c>
      <c r="F99">
        <v>108.267666667</v>
      </c>
      <c r="I99">
        <v>2.257336343</v>
      </c>
      <c r="J99">
        <v>90.6</v>
      </c>
      <c r="M99">
        <v>2.611764709</v>
      </c>
      <c r="N99">
        <v>290.73333300000002</v>
      </c>
      <c r="Q99">
        <v>2.5830691560000001</v>
      </c>
      <c r="T99" s="4"/>
    </row>
    <row r="100" spans="2:20" x14ac:dyDescent="0.35">
      <c r="B100" t="s">
        <v>119</v>
      </c>
      <c r="E100">
        <v>1.413459501</v>
      </c>
      <c r="F100">
        <v>108.45966666699999</v>
      </c>
      <c r="I100">
        <v>2.015677492</v>
      </c>
      <c r="J100">
        <v>91.1</v>
      </c>
      <c r="M100">
        <v>2.1762021759999999</v>
      </c>
      <c r="N100">
        <v>291.10000000000002</v>
      </c>
      <c r="Q100">
        <v>2.2198855009999998</v>
      </c>
      <c r="T100" s="4"/>
    </row>
    <row r="101" spans="2:20" x14ac:dyDescent="0.35">
      <c r="B101" t="s">
        <v>120</v>
      </c>
      <c r="E101">
        <v>1.6671248110000001</v>
      </c>
      <c r="F101">
        <v>108.48966666699999</v>
      </c>
      <c r="I101">
        <v>2.911534155</v>
      </c>
      <c r="J101">
        <v>91.9</v>
      </c>
      <c r="M101">
        <v>2.5905518669999998</v>
      </c>
      <c r="N101">
        <v>291.73333300000002</v>
      </c>
      <c r="Q101">
        <v>2.668851691</v>
      </c>
      <c r="T101" s="4"/>
    </row>
    <row r="102" spans="2:20" x14ac:dyDescent="0.35">
      <c r="B102" t="s">
        <v>121</v>
      </c>
      <c r="E102">
        <v>0.61666573899999999</v>
      </c>
      <c r="F102">
        <v>108.503</v>
      </c>
      <c r="I102">
        <v>9.5343680709999994</v>
      </c>
      <c r="J102">
        <v>98.8</v>
      </c>
      <c r="M102">
        <v>1.211072664</v>
      </c>
      <c r="N102">
        <v>292.5</v>
      </c>
      <c r="Q102">
        <v>1.3818516810000001</v>
      </c>
      <c r="T102" s="4"/>
    </row>
    <row r="103" spans="2:20" x14ac:dyDescent="0.35">
      <c r="B103" t="s">
        <v>122</v>
      </c>
      <c r="E103">
        <v>0.59666936599999998</v>
      </c>
      <c r="F103">
        <v>108.913666667</v>
      </c>
      <c r="I103">
        <v>4.7461368650000004</v>
      </c>
      <c r="J103">
        <v>94.9</v>
      </c>
      <c r="M103">
        <v>1.100664986</v>
      </c>
      <c r="N103">
        <v>293.933333</v>
      </c>
      <c r="Q103">
        <v>1.3391324250000001</v>
      </c>
      <c r="T103" s="4"/>
    </row>
    <row r="104" spans="2:20" x14ac:dyDescent="0.35">
      <c r="B104" t="s">
        <v>123</v>
      </c>
      <c r="E104">
        <v>0.53353166600000002</v>
      </c>
      <c r="F104">
        <v>109.038333333</v>
      </c>
      <c r="I104">
        <v>3.5126234909999998</v>
      </c>
      <c r="J104">
        <v>94.3</v>
      </c>
      <c r="M104">
        <v>1.1336310549999999</v>
      </c>
      <c r="N104">
        <v>294.39999999999998</v>
      </c>
      <c r="Q104">
        <v>1.360155446</v>
      </c>
      <c r="T104" s="4"/>
    </row>
    <row r="105" spans="2:20" x14ac:dyDescent="0.35">
      <c r="B105" t="s">
        <v>124</v>
      </c>
      <c r="E105">
        <v>0.609581865</v>
      </c>
      <c r="F105">
        <v>109.151</v>
      </c>
      <c r="I105">
        <v>3.6996735580000002</v>
      </c>
      <c r="J105">
        <v>95.3</v>
      </c>
      <c r="M105">
        <v>1.405393055</v>
      </c>
      <c r="N105">
        <v>295.83333299999998</v>
      </c>
      <c r="Q105">
        <v>1.596169194</v>
      </c>
      <c r="T105" s="4"/>
    </row>
    <row r="106" spans="2:20" x14ac:dyDescent="0.35">
      <c r="B106" t="s">
        <v>125</v>
      </c>
      <c r="E106">
        <v>2.0518633890000002</v>
      </c>
      <c r="F106">
        <v>110.729333333</v>
      </c>
      <c r="I106">
        <v>-4.9595141700000003</v>
      </c>
      <c r="J106">
        <v>93.9</v>
      </c>
      <c r="M106">
        <v>3.3618232479999999</v>
      </c>
      <c r="N106">
        <v>302.33333299999998</v>
      </c>
      <c r="Q106">
        <v>3.509768287</v>
      </c>
      <c r="T106" s="4"/>
    </row>
    <row r="107" spans="2:20" x14ac:dyDescent="0.35">
      <c r="B107" t="s">
        <v>126</v>
      </c>
      <c r="E107">
        <v>2.771614214</v>
      </c>
      <c r="F107">
        <v>111.932333333</v>
      </c>
      <c r="I107">
        <v>-0.42149631199999998</v>
      </c>
      <c r="J107">
        <v>94.5</v>
      </c>
      <c r="M107">
        <v>4.5021549160000003</v>
      </c>
      <c r="N107">
        <v>307.16666700000002</v>
      </c>
      <c r="Q107">
        <v>4.5967924099999999</v>
      </c>
      <c r="T107" s="4"/>
    </row>
    <row r="108" spans="2:20" x14ac:dyDescent="0.35">
      <c r="B108" t="s">
        <v>127</v>
      </c>
      <c r="E108">
        <v>4.9074484509999996</v>
      </c>
      <c r="F108">
        <v>114.389333333</v>
      </c>
      <c r="I108">
        <v>1.378579003</v>
      </c>
      <c r="J108">
        <v>95.6</v>
      </c>
      <c r="M108">
        <v>6.8840580840000003</v>
      </c>
      <c r="N108">
        <v>314.66666700000002</v>
      </c>
      <c r="Q108">
        <v>7.0252593589999996</v>
      </c>
      <c r="T108" s="4"/>
    </row>
    <row r="109" spans="2:20" x14ac:dyDescent="0.35">
      <c r="B109" t="s">
        <v>128</v>
      </c>
      <c r="E109">
        <v>6.2195185259999999</v>
      </c>
      <c r="F109">
        <v>115.939666667</v>
      </c>
      <c r="I109">
        <v>1.783840504</v>
      </c>
      <c r="J109">
        <v>97</v>
      </c>
      <c r="M109">
        <v>8.3267607980000005</v>
      </c>
      <c r="N109">
        <v>320.46666699999997</v>
      </c>
      <c r="Q109">
        <v>8.4838963080000003</v>
      </c>
      <c r="T109" s="4"/>
    </row>
    <row r="110" spans="2:20" x14ac:dyDescent="0.35">
      <c r="B110" t="s">
        <v>129</v>
      </c>
      <c r="E110">
        <v>9.1692053900000001</v>
      </c>
      <c r="F110">
        <v>120.88233333300001</v>
      </c>
      <c r="I110">
        <v>5.5378061770000002</v>
      </c>
      <c r="J110">
        <v>99.1</v>
      </c>
      <c r="M110">
        <v>11.543550178</v>
      </c>
      <c r="N110">
        <v>337.23333300000002</v>
      </c>
      <c r="Q110">
        <v>11.631734884</v>
      </c>
      <c r="T110" s="4"/>
    </row>
    <row r="111" spans="2:20" x14ac:dyDescent="0.35">
      <c r="B111" t="s">
        <v>130</v>
      </c>
      <c r="E111">
        <v>10.022126462999999</v>
      </c>
      <c r="F111">
        <v>123.15033333300001</v>
      </c>
      <c r="I111">
        <v>6.560846561</v>
      </c>
      <c r="J111">
        <v>100.7</v>
      </c>
      <c r="M111">
        <v>12.42539315</v>
      </c>
      <c r="N111">
        <v>345.33333299999998</v>
      </c>
      <c r="Q111">
        <v>12.320483748999999</v>
      </c>
      <c r="T111" s="4"/>
    </row>
    <row r="112" spans="2:20" x14ac:dyDescent="0.35">
      <c r="B112" t="s">
        <v>131</v>
      </c>
      <c r="E112">
        <v>10.749545412</v>
      </c>
      <c r="F112">
        <v>126.68566666700001</v>
      </c>
      <c r="I112">
        <v>7.9497907950000002</v>
      </c>
      <c r="J112">
        <v>103.2</v>
      </c>
      <c r="M112">
        <v>13.866525303</v>
      </c>
      <c r="N112">
        <v>358.3</v>
      </c>
      <c r="Q112">
        <v>13.423243072</v>
      </c>
      <c r="T112" s="4"/>
    </row>
    <row r="113" spans="2:20" x14ac:dyDescent="0.35">
      <c r="B113" t="s">
        <v>132</v>
      </c>
      <c r="E113">
        <v>10.174832311999999</v>
      </c>
      <c r="F113">
        <v>127.736333333</v>
      </c>
      <c r="I113">
        <v>8.3505154640000008</v>
      </c>
      <c r="J113">
        <v>105.1</v>
      </c>
      <c r="M113">
        <v>13.584356029</v>
      </c>
      <c r="N113">
        <v>364</v>
      </c>
      <c r="Q113">
        <v>12.703010240999999</v>
      </c>
      <c r="T113" s="4"/>
    </row>
    <row r="114" spans="2:20" x14ac:dyDescent="0.35">
      <c r="B114" t="s">
        <v>133</v>
      </c>
      <c r="E114">
        <v>8.427754814</v>
      </c>
      <c r="F114">
        <v>131.07</v>
      </c>
      <c r="I114">
        <v>7.9717457109999996</v>
      </c>
      <c r="J114">
        <v>107</v>
      </c>
      <c r="M114">
        <v>11.149550272999999</v>
      </c>
      <c r="N114">
        <v>374.83333299999998</v>
      </c>
      <c r="Q114">
        <v>10.085520495000001</v>
      </c>
      <c r="T114" s="4"/>
    </row>
    <row r="115" spans="2:20" x14ac:dyDescent="0.35">
      <c r="B115" t="s">
        <v>134</v>
      </c>
      <c r="E115">
        <v>6.7118508270000001</v>
      </c>
      <c r="F115">
        <v>131.416</v>
      </c>
      <c r="I115">
        <v>7.2492552139999997</v>
      </c>
      <c r="J115">
        <v>108</v>
      </c>
      <c r="M115">
        <v>8.9961391010000007</v>
      </c>
      <c r="N115">
        <v>376.4</v>
      </c>
      <c r="Q115">
        <v>7.7581234380000001</v>
      </c>
      <c r="T115" s="4"/>
    </row>
    <row r="116" spans="2:20" x14ac:dyDescent="0.35">
      <c r="B116" t="s">
        <v>135</v>
      </c>
      <c r="E116">
        <v>4.1772681470000004</v>
      </c>
      <c r="F116">
        <v>131.97766666699999</v>
      </c>
      <c r="I116">
        <v>5.03875969</v>
      </c>
      <c r="J116">
        <v>108.4</v>
      </c>
      <c r="M116">
        <v>5.5074889760000003</v>
      </c>
      <c r="N116">
        <v>378.03333300000003</v>
      </c>
      <c r="Q116">
        <v>4.3009753829999999</v>
      </c>
      <c r="T116" s="4"/>
    </row>
    <row r="117" spans="2:20" x14ac:dyDescent="0.35">
      <c r="B117" t="s">
        <v>136</v>
      </c>
      <c r="E117">
        <v>3.5377561590000002</v>
      </c>
      <c r="F117">
        <v>132.25533333300001</v>
      </c>
      <c r="I117">
        <v>4.2816365369999998</v>
      </c>
      <c r="J117">
        <v>109.6</v>
      </c>
      <c r="M117">
        <v>4.5787546700000004</v>
      </c>
      <c r="N117">
        <v>380.66666700000002</v>
      </c>
      <c r="Q117">
        <v>3.542909592</v>
      </c>
      <c r="T117" s="4"/>
    </row>
    <row r="118" spans="2:20" x14ac:dyDescent="0.35">
      <c r="B118" t="s">
        <v>137</v>
      </c>
      <c r="E118">
        <v>2.0988784620000001</v>
      </c>
      <c r="F118">
        <v>133.821</v>
      </c>
      <c r="I118">
        <v>3.1775700929999999</v>
      </c>
      <c r="J118">
        <v>110.4</v>
      </c>
      <c r="M118">
        <v>3.0413517149999998</v>
      </c>
      <c r="N118">
        <v>386.23333300000002</v>
      </c>
      <c r="Q118">
        <v>2.0716135370000002</v>
      </c>
      <c r="T118" s="4"/>
    </row>
    <row r="119" spans="2:20" x14ac:dyDescent="0.35">
      <c r="B119" t="s">
        <v>138</v>
      </c>
      <c r="E119">
        <v>2.0428765649999998</v>
      </c>
      <c r="F119">
        <v>134.10066666700001</v>
      </c>
      <c r="I119">
        <v>3.703703704</v>
      </c>
      <c r="J119">
        <v>112</v>
      </c>
      <c r="M119">
        <v>3.2589444740000002</v>
      </c>
      <c r="N119">
        <v>388.66666700000002</v>
      </c>
      <c r="Q119">
        <v>2.5158354890000001</v>
      </c>
      <c r="T119" s="4"/>
    </row>
    <row r="120" spans="2:20" x14ac:dyDescent="0.35">
      <c r="B120" t="s">
        <v>4</v>
      </c>
      <c r="C120">
        <v>2.4685994849999999</v>
      </c>
      <c r="D120">
        <v>135.235666667</v>
      </c>
      <c r="E120">
        <v>2.4685994849999999</v>
      </c>
      <c r="F120">
        <v>135.235666667</v>
      </c>
      <c r="G120">
        <v>4.3357933580000001</v>
      </c>
      <c r="H120">
        <v>113.1</v>
      </c>
      <c r="I120">
        <v>4.3357933580000001</v>
      </c>
      <c r="J120">
        <v>113.1</v>
      </c>
      <c r="K120">
        <v>3.49175558</v>
      </c>
      <c r="L120">
        <v>391.23333300000002</v>
      </c>
      <c r="M120">
        <v>3.49175558</v>
      </c>
      <c r="N120">
        <v>391.23333300000002</v>
      </c>
      <c r="O120">
        <v>2.921268258</v>
      </c>
      <c r="P120">
        <v>385.2</v>
      </c>
      <c r="Q120">
        <v>2.921268258</v>
      </c>
      <c r="T120" s="4"/>
    </row>
    <row r="121" spans="2:20" x14ac:dyDescent="0.35">
      <c r="B121" t="s">
        <v>5</v>
      </c>
      <c r="C121">
        <v>2.7088726219999999</v>
      </c>
      <c r="D121">
        <v>135.83796184900001</v>
      </c>
      <c r="G121">
        <v>3.9761813030000002</v>
      </c>
      <c r="H121">
        <v>113.957894708</v>
      </c>
      <c r="K121">
        <v>3.4478595420000002</v>
      </c>
      <c r="L121">
        <v>393.79151899999999</v>
      </c>
      <c r="O121">
        <v>2.9829451549999999</v>
      </c>
      <c r="P121">
        <v>387.25020143</v>
      </c>
      <c r="T121" s="4"/>
    </row>
    <row r="122" spans="2:20" x14ac:dyDescent="0.35">
      <c r="B122" t="s">
        <v>6</v>
      </c>
      <c r="C122">
        <v>3.3030662639999999</v>
      </c>
      <c r="D122">
        <v>138.24119630499999</v>
      </c>
      <c r="G122">
        <v>3.7509129720000001</v>
      </c>
      <c r="H122">
        <v>114.541007921</v>
      </c>
      <c r="K122">
        <v>4.1248394790000003</v>
      </c>
      <c r="L122">
        <v>402.16483799999997</v>
      </c>
      <c r="O122">
        <v>3.765218715</v>
      </c>
      <c r="P122">
        <v>395.38007170899999</v>
      </c>
      <c r="T122" s="4"/>
    </row>
    <row r="123" spans="2:20" x14ac:dyDescent="0.35">
      <c r="B123" t="s">
        <v>7</v>
      </c>
      <c r="C123">
        <v>3.686861645</v>
      </c>
      <c r="D123">
        <v>139.04477271100001</v>
      </c>
      <c r="G123">
        <v>2.781531003</v>
      </c>
      <c r="H123">
        <v>115.115314723</v>
      </c>
      <c r="K123">
        <v>4.5709283840000001</v>
      </c>
      <c r="L123">
        <v>406.43234200000001</v>
      </c>
      <c r="O123">
        <v>4.2317483349999998</v>
      </c>
      <c r="P123">
        <v>399.24234003999999</v>
      </c>
      <c r="T123" s="4"/>
    </row>
    <row r="124" spans="2:20" x14ac:dyDescent="0.35">
      <c r="B124" t="s">
        <v>8</v>
      </c>
      <c r="C124">
        <v>3.1469548619999999</v>
      </c>
      <c r="D124">
        <v>139.49147205400001</v>
      </c>
      <c r="G124">
        <v>2.239807125</v>
      </c>
      <c r="H124">
        <v>115.633221859</v>
      </c>
      <c r="K124">
        <v>4.2117921989999996</v>
      </c>
      <c r="L124">
        <v>407.71126800000002</v>
      </c>
      <c r="O124">
        <v>3.844524609</v>
      </c>
      <c r="P124">
        <v>400.00910879499997</v>
      </c>
      <c r="T124" s="4"/>
    </row>
    <row r="125" spans="2:20" x14ac:dyDescent="0.35">
      <c r="B125" t="s">
        <v>9</v>
      </c>
      <c r="C125">
        <v>2.6086100590000001</v>
      </c>
      <c r="D125">
        <v>139.38144458599999</v>
      </c>
      <c r="G125">
        <v>1.8432567959999999</v>
      </c>
      <c r="H125">
        <v>116.058431347</v>
      </c>
      <c r="K125">
        <v>3.7203843390000002</v>
      </c>
      <c r="L125">
        <v>408.44207699999998</v>
      </c>
      <c r="O125">
        <v>3.3351217019999999</v>
      </c>
      <c r="P125">
        <v>400.16546693700002</v>
      </c>
      <c r="T125" s="4"/>
    </row>
    <row r="126" spans="2:20" x14ac:dyDescent="0.35">
      <c r="B126" t="s">
        <v>10</v>
      </c>
      <c r="C126">
        <v>2.037286565</v>
      </c>
      <c r="D126">
        <v>141.057565625</v>
      </c>
      <c r="G126">
        <v>1.6458909370000001</v>
      </c>
      <c r="H126">
        <v>116.42622799</v>
      </c>
      <c r="K126">
        <v>3.1953233559999998</v>
      </c>
      <c r="L126">
        <v>415.01530500000001</v>
      </c>
      <c r="O126">
        <v>2.7763965530000001</v>
      </c>
      <c r="P126">
        <v>406.35739039100002</v>
      </c>
      <c r="T126" s="4"/>
    </row>
    <row r="127" spans="2:20" x14ac:dyDescent="0.35">
      <c r="B127" t="s">
        <v>11</v>
      </c>
      <c r="C127">
        <v>1.807627756</v>
      </c>
      <c r="D127">
        <v>141.55818461600001</v>
      </c>
      <c r="G127">
        <v>1.5730893100000001</v>
      </c>
      <c r="H127">
        <v>116.926181433</v>
      </c>
      <c r="K127">
        <v>2.9876288729999998</v>
      </c>
      <c r="L127">
        <v>418.57503200000002</v>
      </c>
      <c r="O127">
        <v>2.565283413</v>
      </c>
      <c r="P127">
        <v>409.48403756800002</v>
      </c>
      <c r="T127" s="4"/>
    </row>
    <row r="128" spans="2:20" x14ac:dyDescent="0.35">
      <c r="B128" t="s">
        <v>12</v>
      </c>
      <c r="C128">
        <v>1.897723807</v>
      </c>
      <c r="D128">
        <v>142.13863492799999</v>
      </c>
      <c r="G128">
        <v>1.627901732</v>
      </c>
      <c r="H128">
        <v>117.515617081</v>
      </c>
      <c r="K128">
        <v>3.0447524939999999</v>
      </c>
      <c r="L128">
        <v>420.125067</v>
      </c>
      <c r="O128">
        <v>2.6589640540000001</v>
      </c>
      <c r="P128">
        <v>410.645207212</v>
      </c>
      <c r="T128" s="4"/>
    </row>
    <row r="129" spans="2:20" x14ac:dyDescent="0.35">
      <c r="B129" t="s">
        <v>13</v>
      </c>
      <c r="C129">
        <v>1.9720394919999999</v>
      </c>
      <c r="D129">
        <v>142.13010171799999</v>
      </c>
      <c r="G129">
        <v>1.7775703970000001</v>
      </c>
      <c r="H129">
        <v>118.121451666</v>
      </c>
      <c r="K129">
        <v>3.0746296000000002</v>
      </c>
      <c r="L129">
        <v>421.000158</v>
      </c>
      <c r="O129">
        <v>2.7363765930000001</v>
      </c>
      <c r="P129">
        <v>411.115501107</v>
      </c>
      <c r="T129" s="4"/>
    </row>
    <row r="130" spans="2:20" x14ac:dyDescent="0.35">
      <c r="B130" t="s">
        <v>14</v>
      </c>
      <c r="C130">
        <v>1.9839849110000001</v>
      </c>
      <c r="D130">
        <v>143.85612644299999</v>
      </c>
      <c r="G130">
        <v>1.9907433269999999</v>
      </c>
      <c r="H130">
        <v>118.743975354</v>
      </c>
      <c r="K130">
        <v>3.0615355260000001</v>
      </c>
      <c r="L130">
        <v>427.72114599999998</v>
      </c>
      <c r="O130">
        <v>2.7499675039999998</v>
      </c>
      <c r="P130">
        <v>417.53208657699997</v>
      </c>
      <c r="T130" s="4"/>
    </row>
    <row r="131" spans="2:20" x14ac:dyDescent="0.35">
      <c r="B131" t="s">
        <v>15</v>
      </c>
      <c r="C131">
        <v>2</v>
      </c>
      <c r="D131">
        <v>144.389348308</v>
      </c>
      <c r="G131">
        <v>2.0710625139999999</v>
      </c>
      <c r="H131">
        <v>119.34779574700001</v>
      </c>
      <c r="K131">
        <v>3.0332157990000002</v>
      </c>
      <c r="L131">
        <v>431.27131600000001</v>
      </c>
      <c r="O131">
        <v>2.7671967209999999</v>
      </c>
      <c r="P131">
        <v>420.81526642799997</v>
      </c>
      <c r="T131" s="4"/>
    </row>
    <row r="132" spans="2:20" x14ac:dyDescent="0.35">
      <c r="B132" t="s">
        <v>16</v>
      </c>
      <c r="C132">
        <v>2</v>
      </c>
      <c r="D132">
        <v>144.98140762700001</v>
      </c>
      <c r="G132">
        <v>2.0602177049999999</v>
      </c>
      <c r="H132">
        <v>119.93669463000001</v>
      </c>
      <c r="K132">
        <v>2.9724379669999998</v>
      </c>
      <c r="L132">
        <v>432.613024</v>
      </c>
      <c r="O132">
        <v>2.7655999549999999</v>
      </c>
      <c r="P132">
        <v>422.00201087699998</v>
      </c>
      <c r="T132" s="4"/>
    </row>
    <row r="133" spans="2:20" x14ac:dyDescent="0.35">
      <c r="B133" t="s">
        <v>17</v>
      </c>
      <c r="C133">
        <v>2</v>
      </c>
      <c r="D133">
        <v>144.972703752</v>
      </c>
      <c r="G133">
        <v>2.0253607250000001</v>
      </c>
      <c r="H133">
        <v>120.51383715599999</v>
      </c>
      <c r="K133">
        <v>2.922492965</v>
      </c>
      <c r="L133">
        <v>433.30385799999999</v>
      </c>
      <c r="O133">
        <v>2.7652007240000001</v>
      </c>
      <c r="P133">
        <v>422.48366991799998</v>
      </c>
      <c r="T133" s="4"/>
    </row>
    <row r="134" spans="2:20" x14ac:dyDescent="0.35">
      <c r="B134" t="s">
        <v>18</v>
      </c>
      <c r="C134">
        <v>2.0006912909999999</v>
      </c>
      <c r="D134">
        <v>146.73424343600001</v>
      </c>
      <c r="G134">
        <v>1.983014214</v>
      </c>
      <c r="H134">
        <v>121.098685264</v>
      </c>
      <c r="K134">
        <v>2.8511103819999999</v>
      </c>
      <c r="L134">
        <v>439.91594800000001</v>
      </c>
      <c r="O134">
        <v>2.7624298029999999</v>
      </c>
      <c r="P134">
        <v>429.06611737499998</v>
      </c>
      <c r="T134" s="4"/>
    </row>
    <row r="135" spans="2:20" x14ac:dyDescent="0.35">
      <c r="B135" t="s">
        <v>19</v>
      </c>
      <c r="C135">
        <v>2.000225854</v>
      </c>
      <c r="D135">
        <v>147.277461383</v>
      </c>
      <c r="G135">
        <v>1.954338439</v>
      </c>
      <c r="H135">
        <v>121.68025559500001</v>
      </c>
      <c r="K135">
        <v>2.8186613739999999</v>
      </c>
      <c r="L135">
        <v>443.42739399999999</v>
      </c>
      <c r="O135">
        <v>2.7589968790000001</v>
      </c>
      <c r="P135">
        <v>432.42554649499999</v>
      </c>
      <c r="T135" s="4"/>
    </row>
    <row r="136" spans="2:20" x14ac:dyDescent="0.35">
      <c r="B136" t="s">
        <v>20</v>
      </c>
      <c r="C136">
        <v>2.0007676779999999</v>
      </c>
      <c r="D136">
        <v>147.88214876999999</v>
      </c>
      <c r="G136">
        <v>1.934911058</v>
      </c>
      <c r="H136">
        <v>122.257362997</v>
      </c>
      <c r="K136">
        <v>2.8127976559999999</v>
      </c>
      <c r="L136">
        <v>444.78155299999997</v>
      </c>
      <c r="O136">
        <v>2.7567236359999998</v>
      </c>
      <c r="P136">
        <v>433.63544005400001</v>
      </c>
      <c r="T136" s="4"/>
    </row>
    <row r="137" spans="2:20" x14ac:dyDescent="0.35">
      <c r="B137" t="s">
        <v>21</v>
      </c>
      <c r="C137">
        <v>1.999924531</v>
      </c>
      <c r="D137">
        <v>147.87204841799999</v>
      </c>
      <c r="G137">
        <v>1.917169278</v>
      </c>
      <c r="H137">
        <v>122.824291417</v>
      </c>
      <c r="K137">
        <v>2.8205246210000001</v>
      </c>
      <c r="L137">
        <v>445.52530000000002</v>
      </c>
      <c r="O137">
        <v>2.755375892</v>
      </c>
      <c r="P137">
        <v>434.12468310499997</v>
      </c>
      <c r="T137" s="4"/>
    </row>
    <row r="138" spans="2:20" x14ac:dyDescent="0.35">
      <c r="B138" t="s">
        <v>22</v>
      </c>
      <c r="C138">
        <v>1.999900233</v>
      </c>
      <c r="D138">
        <v>149.668781913</v>
      </c>
      <c r="G138">
        <v>1.890523202</v>
      </c>
      <c r="H138">
        <v>123.388084005</v>
      </c>
      <c r="K138">
        <v>2.8371817519999998</v>
      </c>
      <c r="L138">
        <v>452.39716299999998</v>
      </c>
      <c r="O138">
        <v>2.756173215</v>
      </c>
      <c r="P138">
        <v>440.89192277900003</v>
      </c>
      <c r="T138" s="4"/>
    </row>
    <row r="139" spans="2:20" x14ac:dyDescent="0.35">
      <c r="B139" t="s">
        <v>23</v>
      </c>
      <c r="C139">
        <v>2.000222569</v>
      </c>
      <c r="D139">
        <v>150.22333840499999</v>
      </c>
      <c r="G139">
        <v>1.880443533</v>
      </c>
      <c r="H139">
        <v>123.96838409199999</v>
      </c>
      <c r="K139">
        <v>2.8361515709999998</v>
      </c>
      <c r="L139">
        <v>456.00366700000001</v>
      </c>
      <c r="O139">
        <v>2.7571039289999999</v>
      </c>
      <c r="P139">
        <v>444.34796822999999</v>
      </c>
      <c r="T139" s="4"/>
    </row>
    <row r="140" spans="2:20" x14ac:dyDescent="0.35">
      <c r="B140" t="s">
        <v>24</v>
      </c>
      <c r="C140">
        <v>1.999630088</v>
      </c>
      <c r="D140">
        <v>150.83924471099999</v>
      </c>
      <c r="G140">
        <v>1.8767782099999999</v>
      </c>
      <c r="H140">
        <v>124.55186254500001</v>
      </c>
      <c r="K140">
        <v>2.850527391</v>
      </c>
      <c r="L140">
        <v>457.460173</v>
      </c>
      <c r="O140">
        <v>2.755942653</v>
      </c>
      <c r="P140">
        <v>445.58618410600002</v>
      </c>
      <c r="T140" s="4"/>
    </row>
    <row r="141" spans="2:20" x14ac:dyDescent="0.35">
      <c r="B141" t="s">
        <v>25</v>
      </c>
      <c r="C141">
        <v>1.9993326199999999</v>
      </c>
      <c r="D141">
        <v>150.828502517</v>
      </c>
      <c r="G141">
        <v>1.8767859170000001</v>
      </c>
      <c r="H141">
        <v>125.129440422</v>
      </c>
      <c r="K141">
        <v>2.7805866469999998</v>
      </c>
      <c r="L141">
        <v>457.91351700000001</v>
      </c>
      <c r="O141">
        <v>2.6841176080000002</v>
      </c>
      <c r="P141">
        <v>445.77710016700001</v>
      </c>
      <c r="T141" s="4"/>
    </row>
    <row r="142" spans="2:20" x14ac:dyDescent="0.35">
      <c r="B142" t="s">
        <v>156</v>
      </c>
      <c r="C142">
        <v>49.622322332000003</v>
      </c>
      <c r="D142">
        <v>3163.6423567420002</v>
      </c>
      <c r="E142">
        <v>271.35878983800018</v>
      </c>
      <c r="F142">
        <v>10670.371999998997</v>
      </c>
      <c r="G142">
        <v>49.013283054999995</v>
      </c>
      <c r="H142">
        <v>2620.836017952</v>
      </c>
      <c r="I142">
        <v>134.24133987499997</v>
      </c>
      <c r="J142">
        <v>4749.3</v>
      </c>
      <c r="K142">
        <v>70.467117497000004</v>
      </c>
      <c r="L142">
        <v>16676.821753000004</v>
      </c>
      <c r="M142">
        <v>387.65680250600008</v>
      </c>
      <c r="N142">
        <v>32928.059998000004</v>
      </c>
      <c r="O142">
        <v>64.852675906000002</v>
      </c>
      <c r="P142">
        <v>9193.5373213000003</v>
      </c>
      <c r="Q142">
        <v>375.97290989900011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UK_OBR_inflation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Hogan</dc:creator>
  <cp:lastModifiedBy>Oliver Hogan</cp:lastModifiedBy>
  <dcterms:created xsi:type="dcterms:W3CDTF">2026-03-07T14:23:35Z</dcterms:created>
  <dcterms:modified xsi:type="dcterms:W3CDTF">2026-03-27T19:31:37Z</dcterms:modified>
</cp:coreProperties>
</file>